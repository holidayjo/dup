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drive\My Drive\IEEE_Access\code\metric\"/>
    </mc:Choice>
  </mc:AlternateContent>
  <xr:revisionPtr revIDLastSave="0" documentId="13_ncr:1_{EE60E7EB-31E0-43D4-B424-7B81C52088E6}" xr6:coauthVersionLast="47" xr6:coauthVersionMax="47" xr10:uidLastSave="{00000000-0000-0000-0000-000000000000}"/>
  <bookViews>
    <workbookView xWindow="17610" yWindow="2025" windowWidth="18480" windowHeight="11295" xr2:uid="{D6403800-01B5-47D4-990B-98BB6D3D9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G13" i="1"/>
  <c r="F13" i="1"/>
  <c r="I13" i="1"/>
  <c r="H13" i="1"/>
  <c r="C12" i="1"/>
  <c r="D12" i="1"/>
  <c r="E12" i="1"/>
  <c r="F12" i="1"/>
  <c r="G12" i="1"/>
  <c r="H12" i="1"/>
  <c r="I12" i="1"/>
  <c r="B12" i="1"/>
  <c r="H8" i="1"/>
  <c r="H7" i="1"/>
  <c r="H6" i="1"/>
  <c r="H5" i="1"/>
  <c r="H4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<sst xmlns="http://schemas.openxmlformats.org/spreadsheetml/2006/main" count="15" uniqueCount="12">
  <si>
    <t>centernet</t>
  </si>
  <si>
    <t>try</t>
  </si>
  <si>
    <t>infer</t>
  </si>
  <si>
    <t>total</t>
  </si>
  <si>
    <t>faster rcnn</t>
  </si>
  <si>
    <t>infer [ms]</t>
  </si>
  <si>
    <t>total [s]</t>
  </si>
  <si>
    <t>yolov7 tiny</t>
  </si>
  <si>
    <t>yolov9</t>
  </si>
  <si>
    <t>inference time for one image</t>
  </si>
  <si>
    <t>total [ms]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</si>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</sst>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114300</xdr:rowOff>
    </xdr:from>
    <xdr:to>
      <xdr:col>11</xdr:col>
      <xdr:colOff>334369</xdr:colOff>
      <xdr:row>50</xdr:row>
      <xdr:rowOff>29494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D73A7-E19D-83C8-7948-5DBBD472C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2971800"/>
          <a:ext cx="7125694" cy="6582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DF37-CBC3-4E0E-94C9-86F70786A1D9}">
  <dimension ref="A1:I14"/>
  <sheetViews>
    <sheetView tabSelected="1" topLeftCell="A4" workbookViewId="0">
      <selection activeCell="D13" sqref="D13"/>
    </sheetView>
  </sheetViews>
  <sheetFormatPr defaultRowHeight="15" x14ac:dyDescent="0.25"/>
  <cols>
    <col min="1" max="1" width="7.85546875" bestFit="1" customWidth="1"/>
    <col min="4" max="5" width="12" bestFit="1" customWidth="1"/>
  </cols>
  <sheetData>
    <row r="1" spans="1:9" x14ac:dyDescent="0.25">
      <c r="A1" s="2" t="s">
        <v>9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1"/>
      <c r="B2" s="2" t="s">
        <v>0</v>
      </c>
      <c r="C2" s="2"/>
      <c r="D2" s="2" t="s">
        <v>4</v>
      </c>
      <c r="E2" s="2"/>
      <c r="F2" s="2" t="s">
        <v>7</v>
      </c>
      <c r="G2" s="2"/>
      <c r="H2" s="2" t="s">
        <v>8</v>
      </c>
      <c r="I2" s="2"/>
    </row>
    <row r="3" spans="1:9" x14ac:dyDescent="0.25">
      <c r="A3" s="1" t="s">
        <v>1</v>
      </c>
      <c r="B3" s="1" t="s">
        <v>2</v>
      </c>
      <c r="C3" s="1" t="s">
        <v>3</v>
      </c>
      <c r="D3" s="1" t="s">
        <v>2</v>
      </c>
      <c r="E3" s="1" t="s">
        <v>3</v>
      </c>
      <c r="F3" s="1" t="s">
        <v>5</v>
      </c>
      <c r="G3" s="1" t="s">
        <v>6</v>
      </c>
      <c r="H3" s="1" t="s">
        <v>5</v>
      </c>
      <c r="I3" s="1" t="s">
        <v>10</v>
      </c>
    </row>
    <row r="4" spans="1:9" x14ac:dyDescent="0.25">
      <c r="A4" s="1">
        <v>1</v>
      </c>
      <c r="B4" s="1">
        <v>0.78066921234130804</v>
      </c>
      <c r="C4" s="1">
        <v>2.8444347381591699</v>
      </c>
      <c r="D4" s="1">
        <v>0.92321991920471103</v>
      </c>
      <c r="E4" s="1">
        <v>7.7043032646179199</v>
      </c>
      <c r="F4" s="1">
        <f>(6.7+4)</f>
        <v>10.7</v>
      </c>
      <c r="G4" s="1"/>
      <c r="H4" s="1">
        <f>0.3+24+3</f>
        <v>27.3</v>
      </c>
      <c r="I4" s="1">
        <v>24</v>
      </c>
    </row>
    <row r="5" spans="1:9" x14ac:dyDescent="0.25">
      <c r="A5" s="1">
        <v>2</v>
      </c>
      <c r="B5" s="1">
        <v>0.80477857589721602</v>
      </c>
      <c r="C5" s="1">
        <v>3.0383429527282702</v>
      </c>
      <c r="D5" s="1">
        <v>1.1376364231109599</v>
      </c>
      <c r="E5" s="1">
        <v>3.6671676635742099</v>
      </c>
      <c r="F5" s="1">
        <f>5.7+6.5</f>
        <v>12.2</v>
      </c>
      <c r="G5" s="1">
        <v>2.7E-2</v>
      </c>
      <c r="H5" s="1">
        <f>0.3+24+2.6</f>
        <v>26.900000000000002</v>
      </c>
      <c r="I5" s="1">
        <v>24</v>
      </c>
    </row>
    <row r="6" spans="1:9" x14ac:dyDescent="0.25">
      <c r="A6" s="1">
        <v>3</v>
      </c>
      <c r="B6" s="1">
        <v>0.76403760910034102</v>
      </c>
      <c r="C6" s="1">
        <v>2.8820440769195499</v>
      </c>
      <c r="D6" s="1">
        <v>0.78555083274841297</v>
      </c>
      <c r="E6" s="1">
        <v>3.0652651786804199</v>
      </c>
      <c r="F6" s="1">
        <f>4+3.1</f>
        <v>7.1</v>
      </c>
      <c r="G6" s="1">
        <v>1.4E-2</v>
      </c>
      <c r="H6" s="1">
        <f>0.3+23.9+3.1</f>
        <v>27.3</v>
      </c>
      <c r="I6" s="1">
        <v>23.9</v>
      </c>
    </row>
    <row r="7" spans="1:9" x14ac:dyDescent="0.25">
      <c r="A7" s="1">
        <v>4</v>
      </c>
      <c r="B7" s="1">
        <v>0.76434063911437899</v>
      </c>
      <c r="C7" s="1">
        <v>2.92070007324218</v>
      </c>
      <c r="D7" s="1">
        <v>0.80466842651367099</v>
      </c>
      <c r="E7" s="1">
        <v>3.0359418392181299</v>
      </c>
      <c r="F7" s="1">
        <f>5.4+4.5</f>
        <v>9.9</v>
      </c>
      <c r="G7" s="1">
        <v>1.9E-2</v>
      </c>
      <c r="H7" s="1">
        <f>0.3+24.1+2.7</f>
        <v>27.1</v>
      </c>
      <c r="I7" s="1">
        <v>24.1</v>
      </c>
    </row>
    <row r="8" spans="1:9" x14ac:dyDescent="0.25">
      <c r="A8" s="1">
        <v>5</v>
      </c>
      <c r="B8" s="1">
        <v>0.76176810264587402</v>
      </c>
      <c r="C8" s="1">
        <v>2.9039752483367902</v>
      </c>
      <c r="D8" s="1">
        <v>0.80873179435729903</v>
      </c>
      <c r="E8" s="1">
        <v>3.1583952903747501</v>
      </c>
      <c r="F8" s="1">
        <f>4+3.3</f>
        <v>7.3</v>
      </c>
      <c r="G8" s="1">
        <v>1.4E-2</v>
      </c>
      <c r="H8" s="1">
        <f>0.3+24.1+2.5</f>
        <v>26.900000000000002</v>
      </c>
      <c r="I8" s="1">
        <v>24.1</v>
      </c>
    </row>
    <row r="9" spans="1:9" x14ac:dyDescent="0.25">
      <c r="A9" s="1">
        <v>6</v>
      </c>
      <c r="B9" s="1"/>
      <c r="C9" s="1"/>
      <c r="D9" s="1">
        <v>1.16080999374389</v>
      </c>
      <c r="E9" s="1">
        <v>4.1582510471343896</v>
      </c>
      <c r="F9" s="1">
        <f>4.2+3.2</f>
        <v>7.4</v>
      </c>
      <c r="G9" s="1">
        <v>1.4999999999999999E-2</v>
      </c>
      <c r="H9" s="1"/>
      <c r="I9" s="1"/>
    </row>
    <row r="10" spans="1:9" x14ac:dyDescent="0.25">
      <c r="A10" s="1">
        <v>7</v>
      </c>
      <c r="B10" s="1"/>
      <c r="C10" s="1"/>
      <c r="D10" s="1">
        <v>0.80113530158996504</v>
      </c>
      <c r="E10" s="1">
        <v>3.1076841354370099</v>
      </c>
      <c r="F10" s="1">
        <f>4+3.1</f>
        <v>7.1</v>
      </c>
      <c r="G10" s="1">
        <v>1.4E-2</v>
      </c>
      <c r="H10" s="1"/>
      <c r="I10" s="1"/>
    </row>
    <row r="11" spans="1:9" x14ac:dyDescent="0.25">
      <c r="A11" s="1">
        <v>8</v>
      </c>
      <c r="B11" s="1"/>
      <c r="C11" s="1"/>
      <c r="D11" s="1"/>
      <c r="E11" s="1"/>
      <c r="F11" s="1">
        <f>5.3+3.9</f>
        <v>9.1999999999999993</v>
      </c>
      <c r="G11" s="1">
        <v>0.02</v>
      </c>
      <c r="H11" s="1"/>
      <c r="I11" s="1"/>
    </row>
    <row r="12" spans="1:9" x14ac:dyDescent="0.25">
      <c r="A12" s="1" t="s">
        <v>11</v>
      </c>
      <c r="B12" s="3">
        <f>AVERAGE(B4:B11)</f>
        <v>0.77511882781982355</v>
      </c>
      <c r="C12" s="3">
        <f t="shared" ref="C12:I12" si="0">AVERAGE(C4:C11)</f>
        <v>2.9178994178771922</v>
      </c>
      <c r="D12" s="3">
        <f t="shared" si="0"/>
        <v>0.91739324160984415</v>
      </c>
      <c r="E12" s="3">
        <f t="shared" si="0"/>
        <v>3.9852869170052614</v>
      </c>
      <c r="F12" s="3">
        <f t="shared" si="0"/>
        <v>8.8624999999999989</v>
      </c>
      <c r="G12" s="3">
        <f t="shared" si="0"/>
        <v>1.7571428571428571E-2</v>
      </c>
      <c r="H12" s="3">
        <f t="shared" si="0"/>
        <v>27.1</v>
      </c>
      <c r="I12" s="3">
        <f t="shared" si="0"/>
        <v>24.02</v>
      </c>
    </row>
    <row r="13" spans="1:9" x14ac:dyDescent="0.25">
      <c r="F13">
        <f>F12/1000</f>
        <v>8.8624999999999989E-3</v>
      </c>
      <c r="G13">
        <f>G12/1000</f>
        <v>1.7571428571428571E-5</v>
      </c>
      <c r="H13">
        <f>H12/1000</f>
        <v>2.7100000000000003E-2</v>
      </c>
      <c r="I13">
        <f>I12/1000</f>
        <v>2.402E-2</v>
      </c>
    </row>
    <row r="14" spans="1:9" x14ac:dyDescent="0.25">
      <c r="H14">
        <f>B12/H13</f>
        <v>28.602170768259167</v>
      </c>
    </row>
  </sheetData>
  <mergeCells count="5">
    <mergeCell ref="B2:C2"/>
    <mergeCell ref="D2:E2"/>
    <mergeCell ref="F2:G2"/>
    <mergeCell ref="H2:I2"/>
    <mergeCell ref="A1:I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조희</dc:creator>
  <cp:lastModifiedBy>조희</cp:lastModifiedBy>
  <dcterms:created xsi:type="dcterms:W3CDTF">2024-06-16T10:03:30Z</dcterms:created>
  <dcterms:modified xsi:type="dcterms:W3CDTF">2024-06-16T14:13:34Z</dcterms:modified>
</cp:coreProperties>
</file>