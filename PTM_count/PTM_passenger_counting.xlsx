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hungmuro_hasun_strict" sheetId="1" state="visible" r:id="rId3"/>
    <sheet name="chungmuro_hasun_뛴승객포함" sheetId="2" state="visible" r:id="rId4"/>
    <sheet name="chungmuro_sangsun_strict" sheetId="3" state="visible" r:id="rId5"/>
    <sheet name="chungmuro_sangsun_뛴승객포함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<sst xmlns="http://schemas.openxmlformats.org/spreadsheetml/2006/main" count="225" uniqueCount="98">
  <si>
    <r>
      <rPr>
        <sz val="10"/>
        <rFont val="Noto Sans CJK SC"/>
        <family val="2"/>
      </rPr>
      <t xml:space="preserve">충무로 하선 </t>
    </r>
    <r>
      <rPr>
        <sz val="10"/>
        <rFont val="Arial"/>
        <family val="2"/>
      </rPr>
      <t xml:space="preserve">20221019 1730-1900, </t>
    </r>
    <r>
      <rPr>
        <sz val="10"/>
        <rFont val="Noto Sans CJK SC"/>
        <family val="2"/>
      </rPr>
      <t xml:space="preserve">에스컬레이터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계단에서의 속도 일정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러시시간에는 승강장에서 기다리고 있는 승객이 많아서 </t>
    </r>
    <r>
      <rPr>
        <sz val="10"/>
        <rFont val="Arial"/>
        <family val="2"/>
      </rPr>
      <t xml:space="preserve">train presence</t>
    </r>
    <r>
      <rPr>
        <sz val="10"/>
        <rFont val="Noto Sans CJK SC"/>
        <family val="2"/>
      </rPr>
      <t xml:space="preserve">기준으로 봄</t>
    </r>
  </si>
  <si>
    <t xml:space="preserve">train presence(exclude approace)</t>
  </si>
  <si>
    <t xml:space="preserve">train no-presence</t>
  </si>
  <si>
    <t xml:space="preserve">time</t>
  </si>
  <si>
    <t xml:space="preserve">not follows observation</t>
  </si>
  <si>
    <t xml:space="preserve">follow</t>
  </si>
  <si>
    <t xml:space="preserve">not follow</t>
  </si>
  <si>
    <r>
      <rPr>
        <sz val="10"/>
        <rFont val="Arial"/>
        <family val="2"/>
      </rPr>
      <t xml:space="preserve">p</t>
    </r>
    <r>
      <rPr>
        <sz val="10"/>
        <rFont val="Noto Sans CJK SC"/>
        <family val="2"/>
      </rPr>
      <t xml:space="preserve">위</t>
    </r>
  </si>
  <si>
    <r>
      <rPr>
        <sz val="10"/>
        <rFont val="Noto Sans CJK SC"/>
        <family val="2"/>
      </rPr>
      <t xml:space="preserve">안타고 </t>
    </r>
    <r>
      <rPr>
        <sz val="10"/>
        <rFont val="Arial"/>
        <family val="2"/>
      </rPr>
      <t xml:space="preserve">pass</t>
    </r>
  </si>
  <si>
    <r>
      <rPr>
        <sz val="10"/>
        <rFont val="Noto Sans CJK SC"/>
        <family val="2"/>
      </rPr>
      <t xml:space="preserve">화면 뒤로 뛰어감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타는것 같지만 확인 불가</t>
    </r>
  </si>
  <si>
    <r>
      <rPr>
        <sz val="10"/>
        <rFont val="Noto Sans CJK SC"/>
        <family val="2"/>
      </rPr>
      <t xml:space="preserve">따른다고 봄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붐벼서 다음 출입문으로 가지만 확인은 불가</t>
    </r>
    <r>
      <rPr>
        <sz val="10"/>
        <rFont val="Arial"/>
        <family val="2"/>
      </rPr>
      <t xml:space="preserve">)</t>
    </r>
  </si>
  <si>
    <t xml:space="preserve">25-40</t>
  </si>
  <si>
    <r>
      <rPr>
        <sz val="10"/>
        <rFont val="Noto Sans CJK SC"/>
        <family val="2"/>
      </rPr>
      <t xml:space="preserve">재개방 했지만 안탐</t>
    </r>
    <r>
      <rPr>
        <sz val="10"/>
        <rFont val="Arial"/>
        <family val="2"/>
      </rPr>
      <t xml:space="preserve">. no presence</t>
    </r>
    <r>
      <rPr>
        <sz val="10"/>
        <rFont val="Noto Sans CJK SC"/>
        <family val="2"/>
      </rPr>
      <t xml:space="preserve">로 봐도 될듯</t>
    </r>
    <r>
      <rPr>
        <sz val="10"/>
        <rFont val="Arial"/>
        <family val="2"/>
      </rPr>
      <t xml:space="preserve">? </t>
    </r>
    <r>
      <rPr>
        <sz val="10"/>
        <rFont val="Noto Sans CJK SC"/>
        <family val="2"/>
      </rPr>
      <t xml:space="preserve">필요시</t>
    </r>
  </si>
  <si>
    <t xml:space="preserve">26-07</t>
  </si>
  <si>
    <t xml:space="preserve">다시 올라감</t>
  </si>
  <si>
    <t xml:space="preserve">29-42</t>
  </si>
  <si>
    <t xml:space="preserve">확실히 안탐 여유롭게 뒤로 걸어감</t>
  </si>
  <si>
    <t xml:space="preserve">32-20</t>
  </si>
  <si>
    <r>
      <rPr>
        <sz val="10"/>
        <rFont val="Arial"/>
        <family val="2"/>
      </rPr>
      <t xml:space="preserve">3</t>
    </r>
    <r>
      <rPr>
        <sz val="10"/>
        <rFont val="Noto Sans CJK SC"/>
        <family val="2"/>
      </rPr>
      <t xml:space="preserve">명 모두 빠르게 걸어가며 출입문 기웃거리지만 꽉찼는지 안탐</t>
    </r>
  </si>
  <si>
    <r>
      <rPr>
        <sz val="10"/>
        <rFont val="Noto Sans CJK SC"/>
        <family val="2"/>
      </rPr>
      <t xml:space="preserve">기웃거리거나 쳐다보면 탈 의도가 있는것으로 볼까</t>
    </r>
    <r>
      <rPr>
        <sz val="10"/>
        <rFont val="Arial"/>
        <family val="2"/>
      </rPr>
      <t xml:space="preserve">?, </t>
    </r>
    <r>
      <rPr>
        <sz val="10"/>
        <rFont val="Noto Sans CJK SC"/>
        <family val="2"/>
      </rPr>
      <t xml:space="preserve">출입문 앞에 다른 승객들이 기다리고 있으면 탈의도가 있는걸로 볼까</t>
    </r>
    <r>
      <rPr>
        <sz val="10"/>
        <rFont val="Arial"/>
        <family val="2"/>
      </rPr>
      <t xml:space="preserve">?</t>
    </r>
  </si>
  <si>
    <t xml:space="preserve">34-35</t>
  </si>
  <si>
    <t xml:space="preserve">안탐</t>
  </si>
  <si>
    <r>
      <rPr>
        <sz val="10"/>
        <rFont val="Arial"/>
        <family val="2"/>
      </rPr>
      <t xml:space="preserve">p</t>
    </r>
    <r>
      <rPr>
        <sz val="10"/>
        <rFont val="Noto Sans CJK SC"/>
        <family val="2"/>
      </rPr>
      <t xml:space="preserve">점 이후 문이 닫혀 못탔지만 </t>
    </r>
    <r>
      <rPr>
        <sz val="10"/>
        <rFont val="Arial"/>
        <family val="2"/>
      </rPr>
      <t xml:space="preserve">follow</t>
    </r>
  </si>
  <si>
    <t xml:space="preserve">38-13</t>
  </si>
  <si>
    <r>
      <rPr>
        <sz val="10"/>
        <rFont val="Noto Sans CJK SC"/>
        <family val="2"/>
      </rPr>
      <t xml:space="preserve">뒤로 뛰어가는 모습은 </t>
    </r>
    <r>
      <rPr>
        <sz val="10"/>
        <rFont val="Arial"/>
        <family val="2"/>
      </rPr>
      <t xml:space="preserve">follow</t>
    </r>
    <r>
      <rPr>
        <sz val="10"/>
        <rFont val="Noto Sans CJK SC"/>
        <family val="2"/>
      </rPr>
      <t xml:space="preserve">로 가정</t>
    </r>
  </si>
  <si>
    <t xml:space="preserve">못타고 닫힘</t>
  </si>
  <si>
    <t xml:space="preserve">41-34</t>
  </si>
  <si>
    <t xml:space="preserve">42-30</t>
  </si>
  <si>
    <r>
      <rPr>
        <sz val="10"/>
        <rFont val="Noto Sans CJK SC"/>
        <family val="2"/>
      </rPr>
      <t xml:space="preserve">느긋이 걸어가는 </t>
    </r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명 제외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뛰어가는 사람은 </t>
    </r>
    <r>
      <rPr>
        <sz val="10"/>
        <rFont val="Arial"/>
        <family val="2"/>
      </rPr>
      <t xml:space="preserve">follow</t>
    </r>
    <r>
      <rPr>
        <sz val="10"/>
        <rFont val="Noto Sans CJK SC"/>
        <family val="2"/>
      </rPr>
      <t xml:space="preserve">로 포함</t>
    </r>
    <r>
      <rPr>
        <sz val="10"/>
        <rFont val="Arial"/>
        <family val="2"/>
      </rPr>
      <t xml:space="preserve">)</t>
    </r>
  </si>
  <si>
    <t xml:space="preserve">43-12</t>
  </si>
  <si>
    <r>
      <rPr>
        <sz val="10"/>
        <rFont val="Arial"/>
        <family val="2"/>
      </rPr>
      <t xml:space="preserve">3</t>
    </r>
    <r>
      <rPr>
        <sz val="10"/>
        <rFont val="Noto Sans CJK SC"/>
        <family val="2"/>
      </rPr>
      <t xml:space="preserve">명중 </t>
    </r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명은 뛰어왔지만 닫혀서 못탐</t>
    </r>
  </si>
  <si>
    <t xml:space="preserve">45-40</t>
  </si>
  <si>
    <t xml:space="preserve">닫혀서 못탐</t>
  </si>
  <si>
    <t xml:space="preserve">48-04</t>
  </si>
  <si>
    <t xml:space="preserve">49-50</t>
  </si>
  <si>
    <t xml:space="preserve">50-18</t>
  </si>
  <si>
    <t xml:space="preserve">꽉차서 걸어서 뒤로감</t>
  </si>
  <si>
    <t xml:space="preserve">53-03</t>
  </si>
  <si>
    <t xml:space="preserve">53-44</t>
  </si>
  <si>
    <t xml:space="preserve">꽉차서 안탐</t>
  </si>
  <si>
    <t xml:space="preserve">56-44</t>
  </si>
  <si>
    <t xml:space="preserve">57-08</t>
  </si>
  <si>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명 닫혀서 못탐</t>
    </r>
  </si>
  <si>
    <t xml:space="preserve">59-43</t>
  </si>
  <si>
    <t xml:space="preserve">1-00-06</t>
  </si>
  <si>
    <r>
      <rPr>
        <sz val="10"/>
        <rFont val="Arial"/>
        <family val="2"/>
      </rPr>
      <t xml:space="preserve">3</t>
    </r>
    <r>
      <rPr>
        <sz val="10"/>
        <rFont val="Noto Sans CJK SC"/>
        <family val="2"/>
      </rPr>
      <t xml:space="preserve">명 꽉차서 못탐</t>
    </r>
  </si>
  <si>
    <t xml:space="preserve">1-03-42</t>
  </si>
  <si>
    <t xml:space="preserve">1_04_12</t>
  </si>
  <si>
    <t xml:space="preserve">다시 위로 올라감</t>
  </si>
  <si>
    <t xml:space="preserve">1_07_56</t>
  </si>
  <si>
    <t xml:space="preserve">뛰어왔으나 닫혀못탐</t>
  </si>
  <si>
    <t xml:space="preserve">1_10_29</t>
  </si>
  <si>
    <t xml:space="preserve">1_10_56</t>
  </si>
  <si>
    <t xml:space="preserve">1_13_39</t>
  </si>
  <si>
    <t xml:space="preserve">1_14_02</t>
  </si>
  <si>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명 닫혀서 못탐</t>
    </r>
    <r>
      <rPr>
        <sz val="10"/>
        <rFont val="Arial"/>
        <family val="2"/>
      </rPr>
      <t xml:space="preserve">, 1</t>
    </r>
    <r>
      <rPr>
        <sz val="10"/>
        <rFont val="Noto Sans CJK SC"/>
        <family val="2"/>
      </rPr>
      <t xml:space="preserve">명 꽉차 안탐</t>
    </r>
  </si>
  <si>
    <t xml:space="preserve">1_20_19</t>
  </si>
  <si>
    <t xml:space="preserve">1_24_47</t>
  </si>
  <si>
    <t xml:space="preserve">힐끗 보고 안탐</t>
  </si>
  <si>
    <t xml:space="preserve">1_27_42</t>
  </si>
  <si>
    <t xml:space="preserve">문앞에서 기다림</t>
  </si>
  <si>
    <t xml:space="preserve">뛰어왔으나 못탐</t>
  </si>
  <si>
    <t xml:space="preserve">1_30_0</t>
  </si>
  <si>
    <r>
      <rPr>
        <sz val="10"/>
        <rFont val="Noto Sans CJK SC"/>
        <family val="2"/>
      </rPr>
      <t xml:space="preserve">충무로 상선 </t>
    </r>
    <r>
      <rPr>
        <sz val="10"/>
        <rFont val="Arial"/>
        <family val="2"/>
      </rPr>
      <t xml:space="preserve">20221019 1730-1900, </t>
    </r>
    <r>
      <rPr>
        <sz val="10"/>
        <rFont val="Noto Sans CJK SC"/>
        <family val="2"/>
      </rPr>
      <t xml:space="preserve">에스컬레이터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계단에서의 속도 일정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러시시간에는 승강장에서 기다리고 있는 승객이 많아서 </t>
    </r>
    <r>
      <rPr>
        <sz val="10"/>
        <rFont val="Arial"/>
        <family val="2"/>
      </rPr>
      <t xml:space="preserve">train presence</t>
    </r>
    <r>
      <rPr>
        <sz val="10"/>
        <rFont val="Noto Sans CJK SC"/>
        <family val="2"/>
      </rPr>
      <t xml:space="preserve">기준으로 봄</t>
    </r>
  </si>
  <si>
    <t xml:space="preserve">4-9</t>
  </si>
  <si>
    <t xml:space="preserve">10-57</t>
  </si>
  <si>
    <t xml:space="preserve">15-26</t>
  </si>
  <si>
    <r>
      <rPr>
        <sz val="10"/>
        <rFont val="Noto Sans CJK SC"/>
        <family val="2"/>
      </rPr>
      <t xml:space="preserve">포함 </t>
    </r>
    <r>
      <rPr>
        <sz val="10"/>
        <rFont val="Arial"/>
        <family val="2"/>
      </rPr>
      <t xml:space="preserve">door1,2</t>
    </r>
    <r>
      <rPr>
        <sz val="10"/>
        <rFont val="Noto Sans CJK SC"/>
        <family val="2"/>
      </rPr>
      <t xml:space="preserve">로는 안타지만 뒤로 뛰어감</t>
    </r>
  </si>
  <si>
    <t xml:space="preserve">20-21</t>
  </si>
  <si>
    <t xml:space="preserve">계단중간 다시 올라감</t>
  </si>
  <si>
    <t xml:space="preserve">22-12</t>
  </si>
  <si>
    <r>
      <rPr>
        <sz val="10"/>
        <rFont val="Noto Sans CJK SC"/>
        <family val="2"/>
      </rPr>
      <t xml:space="preserve">포함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사람이 많이 기다리고있어 뒤로 뛰어감</t>
    </r>
  </si>
  <si>
    <t xml:space="preserve">27-50</t>
  </si>
  <si>
    <t xml:space="preserve">42-23</t>
  </si>
  <si>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명중</t>
    </r>
    <r>
      <rPr>
        <sz val="10"/>
        <rFont val="Arial"/>
        <family val="2"/>
      </rPr>
      <t xml:space="preserve">, 1</t>
    </r>
    <r>
      <rPr>
        <sz val="10"/>
        <rFont val="Noto Sans CJK SC"/>
        <family val="2"/>
      </rPr>
      <t xml:space="preserve">명을 뒤로 뛰어가고</t>
    </r>
    <r>
      <rPr>
        <sz val="10"/>
        <rFont val="Arial"/>
        <family val="2"/>
      </rPr>
      <t xml:space="preserve">, 2</t>
    </r>
    <r>
      <rPr>
        <sz val="10"/>
        <rFont val="Noto Sans CJK SC"/>
        <family val="2"/>
      </rPr>
      <t xml:space="preserve">명은 뒤로 걸어감</t>
    </r>
    <r>
      <rPr>
        <sz val="10"/>
        <rFont val="Arial"/>
        <family val="2"/>
      </rPr>
      <t xml:space="preserve">. 5</t>
    </r>
    <r>
      <rPr>
        <sz val="10"/>
        <rFont val="Noto Sans CJK SC"/>
        <family val="2"/>
      </rPr>
      <t xml:space="preserve">명은 문앞에 대기</t>
    </r>
    <r>
      <rPr>
        <sz val="10"/>
        <rFont val="Arial"/>
        <family val="2"/>
      </rPr>
      <t xml:space="preserve">, 2</t>
    </r>
    <r>
      <rPr>
        <sz val="10"/>
        <rFont val="Noto Sans CJK SC"/>
        <family val="2"/>
      </rPr>
      <t xml:space="preserve">명은 닫혀 못탐</t>
    </r>
  </si>
  <si>
    <t xml:space="preserve">48-01</t>
  </si>
  <si>
    <t xml:space="preserve">48-56</t>
  </si>
  <si>
    <r>
      <rPr>
        <sz val="10"/>
        <rFont val="Arial"/>
        <family val="2"/>
      </rPr>
      <t xml:space="preserve">3</t>
    </r>
    <r>
      <rPr>
        <sz val="10"/>
        <rFont val="Noto Sans CJK SC"/>
        <family val="2"/>
      </rPr>
      <t xml:space="preserve">명중 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명은 힐끔봐서 제외</t>
    </r>
    <r>
      <rPr>
        <sz val="10"/>
        <rFont val="Arial"/>
        <family val="2"/>
      </rPr>
      <t xml:space="preserve">. 1</t>
    </r>
    <r>
      <rPr>
        <sz val="10"/>
        <rFont val="Noto Sans CJK SC"/>
        <family val="2"/>
      </rPr>
      <t xml:space="preserve">명은 못타고 뒤로감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한명은 문앞에서 닫혀 못탐</t>
    </r>
  </si>
  <si>
    <t xml:space="preserve">56-07</t>
  </si>
  <si>
    <r>
      <rPr>
        <sz val="10"/>
        <rFont val="Noto Sans CJK SC"/>
        <family val="2"/>
      </rPr>
      <t xml:space="preserve">꽉차서 </t>
    </r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명 모두 못 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문앞대기</t>
    </r>
  </si>
  <si>
    <t xml:space="preserve">1_01_08</t>
  </si>
  <si>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명 계단 중간에서 대기</t>
    </r>
  </si>
  <si>
    <r>
      <rPr>
        <sz val="10"/>
        <rFont val="Noto Sans CJK SC"/>
        <family val="2"/>
      </rPr>
      <t xml:space="preserve">앞에 기다리는 사람이 너무 많아 뒤로 돌아감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포함해도 될듯</t>
    </r>
  </si>
  <si>
    <t xml:space="preserve">아예 제외 고려</t>
  </si>
  <si>
    <t xml:space="preserve">출입문 앞에 기다리는 승객이 많아 천천히 내려옴</t>
  </si>
  <si>
    <t xml:space="preserve">1_05_39</t>
  </si>
  <si>
    <t xml:space="preserve">사람많아 뒤로 걸어감</t>
  </si>
  <si>
    <t xml:space="preserve">1_10_18</t>
  </si>
  <si>
    <t xml:space="preserve">꽉차서 못탐</t>
  </si>
  <si>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명은 늦어서 닫혀서 못탐</t>
    </r>
  </si>
  <si>
    <t xml:space="preserve">0_17_07</t>
  </si>
  <si>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명은 뒤로 뛰어감</t>
    </r>
  </si>
  <si>
    <t xml:space="preserve">1_20_41</t>
  </si>
  <si>
    <t xml:space="preserve">1_26_50</t>
  </si>
  <si>
    <t xml:space="preserve">좀 빨리 내려왓지만 포함</t>
  </si>
  <si>
    <t xml:space="preserve">1_29_54</t>
  </si>
  <si>
    <t xml:space="preserve">뛰었지만 못탐</t>
  </si>
  <si>
    <t xml:space="preserve">1_33_00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</si>
</sst>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00"/>
    <numFmt numFmtId="167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1" activePane="bottomLeft" state="frozen"/>
      <selection pane="topLeft" activeCell="A1" activeCellId="0" sqref="A1"/>
      <selection pane="bottomLeft" activeCell="A66" activeCellId="0" sqref="A6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34"/>
    <col collapsed="false" customWidth="true" hidden="false" outlineLevel="0" max="2" min="2" style="1" width="23.77"/>
    <col collapsed="false" customWidth="true" hidden="false" outlineLevel="0" max="3" min="3" style="1" width="15.85"/>
    <col collapsed="false" customWidth="true" hidden="false" outlineLevel="0" max="4" min="4" style="1" width="11.91"/>
    <col collapsed="false" customWidth="true" hidden="false" outlineLevel="0" max="5" min="5" style="2" width="11.91"/>
    <col collapsed="false" customWidth="true" hidden="false" outlineLevel="0" max="6" min="6" style="1" width="74.43"/>
    <col collapsed="false" customWidth="false" hidden="false" outlineLevel="0" max="16384" min="11" style="1" width="11.53"/>
  </cols>
  <sheetData>
    <row r="1" customFormat="false" ht="15.65" hidden="false" customHeight="false" outlineLevel="0" collapsed="false">
      <c r="A1" s="3" t="s">
        <v>0</v>
      </c>
      <c r="B1" s="3"/>
      <c r="C1" s="3"/>
      <c r="D1" s="3"/>
      <c r="E1" s="3"/>
      <c r="F1" s="3"/>
    </row>
    <row r="2" customFormat="false" ht="12.8" hidden="false" customHeight="false" outlineLevel="0" collapsed="false">
      <c r="A2" s="4" t="s">
        <v>1</v>
      </c>
      <c r="B2" s="4"/>
      <c r="C2" s="4" t="s">
        <v>2</v>
      </c>
      <c r="D2" s="4"/>
      <c r="E2" s="5" t="s">
        <v>3</v>
      </c>
      <c r="F2" s="4" t="s">
        <v>4</v>
      </c>
    </row>
    <row r="3" customFormat="false" ht="12.8" hidden="false" customHeight="false" outlineLevel="0" collapsed="false">
      <c r="A3" s="4" t="s">
        <v>5</v>
      </c>
      <c r="B3" s="4" t="s">
        <v>6</v>
      </c>
      <c r="C3" s="4" t="s">
        <v>5</v>
      </c>
      <c r="D3" s="4" t="s">
        <v>6</v>
      </c>
      <c r="E3" s="5"/>
      <c r="F3" s="4"/>
    </row>
    <row r="4" customFormat="false" ht="15.65" hidden="false" customHeight="false" outlineLevel="0" collapsed="false">
      <c r="A4" s="4"/>
      <c r="B4" s="4"/>
      <c r="C4" s="4" t="n">
        <v>6</v>
      </c>
      <c r="D4" s="4" t="n">
        <v>1</v>
      </c>
      <c r="E4" s="5" t="n">
        <v>0.0513888888888889</v>
      </c>
      <c r="F4" s="4" t="s">
        <v>7</v>
      </c>
    </row>
    <row r="5" customFormat="false" ht="15.65" hidden="false" customHeight="false" outlineLevel="0" collapsed="false">
      <c r="A5" s="4"/>
      <c r="B5" s="4"/>
      <c r="C5" s="4" t="n">
        <v>2</v>
      </c>
      <c r="D5" s="4" t="n">
        <v>1</v>
      </c>
      <c r="E5" s="5" t="n">
        <v>0.0868055555555556</v>
      </c>
      <c r="F5" s="3" t="s">
        <v>8</v>
      </c>
    </row>
    <row r="6" customFormat="false" ht="12.8" hidden="false" customHeight="false" outlineLevel="0" collapsed="false">
      <c r="A6" s="4"/>
      <c r="B6" s="4"/>
      <c r="C6" s="4" t="n">
        <v>73</v>
      </c>
      <c r="D6" s="4"/>
      <c r="E6" s="5"/>
      <c r="F6" s="4"/>
    </row>
    <row r="7" customFormat="false" ht="12.8" hidden="false" customHeight="false" outlineLevel="0" collapsed="false">
      <c r="A7" s="4"/>
      <c r="B7" s="4"/>
      <c r="C7" s="4" t="n">
        <v>11</v>
      </c>
      <c r="D7" s="4"/>
      <c r="E7" s="5" t="n">
        <v>0.39375</v>
      </c>
      <c r="F7" s="4"/>
    </row>
    <row r="8" customFormat="false" ht="12.8" hidden="false" customHeight="false" outlineLevel="0" collapsed="false">
      <c r="A8" s="4" t="n">
        <v>10</v>
      </c>
      <c r="B8" s="4"/>
      <c r="C8" s="4"/>
      <c r="D8" s="4"/>
      <c r="E8" s="5"/>
      <c r="F8" s="4"/>
    </row>
    <row r="9" customFormat="false" ht="15.65" hidden="false" customHeight="false" outlineLevel="0" collapsed="false">
      <c r="A9" s="4" t="n">
        <v>4</v>
      </c>
      <c r="B9" s="4" t="n">
        <v>1</v>
      </c>
      <c r="C9" s="6"/>
      <c r="D9" s="6"/>
      <c r="E9" s="5" t="n">
        <v>0.510416666666667</v>
      </c>
      <c r="F9" s="3" t="s">
        <v>9</v>
      </c>
    </row>
    <row r="10" customFormat="false" ht="12.8" hidden="false" customHeight="false" outlineLevel="0" collapsed="false">
      <c r="A10" s="4"/>
      <c r="B10" s="4"/>
      <c r="C10" s="4" t="n">
        <v>30</v>
      </c>
      <c r="D10" s="4"/>
      <c r="E10" s="5"/>
      <c r="F10" s="4"/>
    </row>
    <row r="11" customFormat="false" ht="12.8" hidden="false" customHeight="false" outlineLevel="0" collapsed="false">
      <c r="A11" s="4" t="n">
        <v>9</v>
      </c>
      <c r="B11" s="4"/>
      <c r="C11" s="4"/>
      <c r="D11" s="4"/>
      <c r="E11" s="5"/>
      <c r="F11" s="4"/>
    </row>
    <row r="12" customFormat="false" ht="12.8" hidden="false" customHeight="false" outlineLevel="0" collapsed="false">
      <c r="C12" s="1" t="n">
        <v>21</v>
      </c>
    </row>
    <row r="13" customFormat="false" ht="15.65" hidden="false" customHeight="false" outlineLevel="0" collapsed="false">
      <c r="A13" s="1" t="n">
        <v>1</v>
      </c>
      <c r="E13" s="2" t="n">
        <v>0.756944444444444</v>
      </c>
      <c r="F13" s="7" t="s">
        <v>10</v>
      </c>
    </row>
    <row r="14" customFormat="false" ht="12.8" hidden="false" customHeight="false" outlineLevel="0" collapsed="false">
      <c r="A14" s="1" t="n">
        <v>1</v>
      </c>
      <c r="C14" s="1" t="n">
        <v>1</v>
      </c>
    </row>
    <row r="15" customFormat="false" ht="12.8" hidden="false" customHeight="false" outlineLevel="0" collapsed="false">
      <c r="C15" s="1" t="n">
        <v>26</v>
      </c>
    </row>
    <row r="16" customFormat="false" ht="12.8" hidden="false" customHeight="false" outlineLevel="0" collapsed="false">
      <c r="A16" s="1" t="n">
        <v>1</v>
      </c>
    </row>
    <row r="17" customFormat="false" ht="12.8" hidden="false" customHeight="false" outlineLevel="0" collapsed="false">
      <c r="C17" s="1" t="n">
        <v>42</v>
      </c>
    </row>
    <row r="18" customFormat="false" ht="15.65" hidden="false" customHeight="false" outlineLevel="0" collapsed="false">
      <c r="A18" s="1" t="n">
        <v>2</v>
      </c>
      <c r="B18" s="1" t="n">
        <v>1</v>
      </c>
      <c r="E18" s="2" t="s">
        <v>11</v>
      </c>
      <c r="F18" s="7" t="s">
        <v>12</v>
      </c>
    </row>
    <row r="19" customFormat="false" ht="12.8" hidden="false" customHeight="false" outlineLevel="0" collapsed="false">
      <c r="C19" s="1" t="n">
        <v>4</v>
      </c>
      <c r="D19" s="1" t="n">
        <v>1</v>
      </c>
      <c r="E19" s="2" t="s">
        <v>13</v>
      </c>
      <c r="F19" s="7" t="s">
        <v>14</v>
      </c>
    </row>
    <row r="20" customFormat="false" ht="12.8" hidden="false" customHeight="false" outlineLevel="0" collapsed="false">
      <c r="C20" s="1" t="n">
        <v>33</v>
      </c>
    </row>
    <row r="21" customFormat="false" ht="12.8" hidden="false" customHeight="false" outlineLevel="0" collapsed="false">
      <c r="A21" s="1" t="n">
        <v>4</v>
      </c>
      <c r="B21" s="1" t="n">
        <v>1</v>
      </c>
      <c r="E21" s="2" t="s">
        <v>15</v>
      </c>
      <c r="F21" s="7" t="s">
        <v>16</v>
      </c>
    </row>
    <row r="22" customFormat="false" ht="12.8" hidden="false" customHeight="false" outlineLevel="0" collapsed="false">
      <c r="C22" s="1" t="n">
        <v>22</v>
      </c>
    </row>
    <row r="23" customFormat="false" ht="15.65" hidden="false" customHeight="false" outlineLevel="0" collapsed="false">
      <c r="A23" s="1" t="n">
        <v>5</v>
      </c>
      <c r="B23" s="1" t="n">
        <v>3</v>
      </c>
      <c r="E23" s="2" t="s">
        <v>17</v>
      </c>
      <c r="F23" s="1" t="s">
        <v>18</v>
      </c>
      <c r="G23" s="8" t="s">
        <v>19</v>
      </c>
    </row>
    <row r="24" customFormat="false" ht="12.8" hidden="false" customHeight="false" outlineLevel="0" collapsed="false">
      <c r="C24" s="1" t="n">
        <v>27</v>
      </c>
      <c r="E24" s="0"/>
    </row>
    <row r="25" customFormat="false" ht="12.8" hidden="false" customHeight="false" outlineLevel="0" collapsed="false">
      <c r="A25" s="1" t="n">
        <v>2</v>
      </c>
      <c r="B25" s="1" t="n">
        <v>1</v>
      </c>
      <c r="E25" s="2" t="s">
        <v>20</v>
      </c>
      <c r="F25" s="7" t="s">
        <v>21</v>
      </c>
    </row>
    <row r="26" customFormat="false" ht="15.65" hidden="false" customHeight="false" outlineLevel="0" collapsed="false">
      <c r="A26" s="1" t="n">
        <v>1</v>
      </c>
      <c r="F26" s="1" t="s">
        <v>22</v>
      </c>
    </row>
    <row r="27" customFormat="false" ht="12.8" hidden="false" customHeight="false" outlineLevel="0" collapsed="false">
      <c r="A27" s="1" t="n">
        <v>85</v>
      </c>
      <c r="E27" s="0"/>
      <c r="F27" s="0"/>
    </row>
    <row r="28" customFormat="false" ht="15.65" hidden="false" customHeight="false" outlineLevel="0" collapsed="false">
      <c r="A28" s="1" t="n">
        <v>16</v>
      </c>
      <c r="E28" s="2" t="s">
        <v>23</v>
      </c>
      <c r="F28" s="7" t="s">
        <v>24</v>
      </c>
    </row>
    <row r="29" customFormat="false" ht="12.8" hidden="false" customHeight="false" outlineLevel="0" collapsed="false">
      <c r="A29" s="1" t="n">
        <v>3</v>
      </c>
      <c r="F29" s="7" t="s">
        <v>25</v>
      </c>
    </row>
    <row r="30" customFormat="false" ht="12.8" hidden="false" customHeight="false" outlineLevel="0" collapsed="false">
      <c r="C30" s="1" t="n">
        <v>114</v>
      </c>
      <c r="E30" s="2" t="s">
        <v>26</v>
      </c>
    </row>
    <row r="31" customFormat="false" ht="12.8" hidden="false" customHeight="false" outlineLevel="0" collapsed="false">
      <c r="C31" s="1" t="n">
        <v>33</v>
      </c>
      <c r="E31" s="2" t="s">
        <v>27</v>
      </c>
    </row>
    <row r="32" customFormat="false" ht="15.65" hidden="false" customHeight="false" outlineLevel="0" collapsed="false">
      <c r="A32" s="1" t="n">
        <v>13</v>
      </c>
      <c r="B32" s="1" t="n">
        <v>2</v>
      </c>
      <c r="F32" s="7" t="s">
        <v>28</v>
      </c>
    </row>
    <row r="33" customFormat="false" ht="15.65" hidden="false" customHeight="false" outlineLevel="0" collapsed="false">
      <c r="A33" s="1" t="n">
        <v>3</v>
      </c>
      <c r="E33" s="2" t="s">
        <v>29</v>
      </c>
      <c r="F33" s="1" t="s">
        <v>30</v>
      </c>
    </row>
    <row r="34" customFormat="false" ht="12.8" hidden="false" customHeight="false" outlineLevel="0" collapsed="false">
      <c r="C34" s="1" t="n">
        <v>78</v>
      </c>
      <c r="E34" s="2" t="s">
        <v>31</v>
      </c>
    </row>
    <row r="35" customFormat="false" ht="12.8" hidden="false" customHeight="false" outlineLevel="0" collapsed="false">
      <c r="A35" s="1" t="n">
        <v>3</v>
      </c>
      <c r="F35" s="7" t="s">
        <v>32</v>
      </c>
    </row>
    <row r="36" customFormat="false" ht="12.8" hidden="false" customHeight="false" outlineLevel="0" collapsed="false">
      <c r="C36" s="1" t="n">
        <v>48</v>
      </c>
      <c r="E36" s="2" t="s">
        <v>33</v>
      </c>
    </row>
    <row r="37" customFormat="false" ht="12.8" hidden="false" customHeight="false" outlineLevel="0" collapsed="false">
      <c r="C37" s="1" t="n">
        <v>34</v>
      </c>
      <c r="E37" s="2" t="s">
        <v>34</v>
      </c>
    </row>
    <row r="38" customFormat="false" ht="12.8" hidden="false" customHeight="false" outlineLevel="0" collapsed="false">
      <c r="A38" s="1" t="n">
        <v>4</v>
      </c>
      <c r="B38" s="1" t="n">
        <v>1</v>
      </c>
      <c r="E38" s="2" t="s">
        <v>35</v>
      </c>
      <c r="F38" s="7" t="s">
        <v>36</v>
      </c>
    </row>
    <row r="39" customFormat="false" ht="12.8" hidden="false" customHeight="false" outlineLevel="0" collapsed="false">
      <c r="C39" s="1" t="n">
        <v>38</v>
      </c>
      <c r="E39" s="2" t="s">
        <v>37</v>
      </c>
    </row>
    <row r="40" customFormat="false" ht="12.8" hidden="false" customHeight="false" outlineLevel="0" collapsed="false">
      <c r="A40" s="1" t="n">
        <v>3</v>
      </c>
      <c r="B40" s="1" t="n">
        <v>2</v>
      </c>
      <c r="E40" s="2" t="s">
        <v>38</v>
      </c>
      <c r="F40" s="7" t="s">
        <v>39</v>
      </c>
    </row>
    <row r="41" customFormat="false" ht="12.8" hidden="false" customHeight="false" outlineLevel="0" collapsed="false">
      <c r="C41" s="1" t="n">
        <v>43</v>
      </c>
      <c r="E41" s="2" t="s">
        <v>40</v>
      </c>
    </row>
    <row r="42" customFormat="false" ht="15.65" hidden="false" customHeight="false" outlineLevel="0" collapsed="false">
      <c r="A42" s="1" t="n">
        <v>4</v>
      </c>
      <c r="E42" s="2" t="s">
        <v>41</v>
      </c>
      <c r="F42" s="1" t="s">
        <v>42</v>
      </c>
    </row>
    <row r="43" customFormat="false" ht="12.8" hidden="false" customHeight="false" outlineLevel="0" collapsed="false">
      <c r="C43" s="1" t="n">
        <v>27</v>
      </c>
      <c r="E43" s="2" t="s">
        <v>43</v>
      </c>
    </row>
    <row r="44" customFormat="false" ht="15.65" hidden="false" customHeight="false" outlineLevel="0" collapsed="false">
      <c r="A44" s="1" t="n">
        <v>7</v>
      </c>
      <c r="B44" s="1" t="n">
        <v>3</v>
      </c>
      <c r="E44" s="2" t="s">
        <v>44</v>
      </c>
      <c r="F44" s="1" t="s">
        <v>45</v>
      </c>
    </row>
    <row r="45" customFormat="false" ht="12.8" hidden="false" customHeight="false" outlineLevel="0" collapsed="false">
      <c r="C45" s="1" t="n">
        <v>42</v>
      </c>
      <c r="E45" s="2" t="s">
        <v>46</v>
      </c>
    </row>
    <row r="46" customFormat="false" ht="12.8" hidden="false" customHeight="false" outlineLevel="0" collapsed="false">
      <c r="A46" s="1" t="n">
        <v>6</v>
      </c>
      <c r="B46" s="1" t="n">
        <v>1</v>
      </c>
      <c r="E46" s="2" t="s">
        <v>47</v>
      </c>
      <c r="F46" s="7" t="s">
        <v>48</v>
      </c>
    </row>
    <row r="47" customFormat="false" ht="12.8" hidden="false" customHeight="false" outlineLevel="0" collapsed="false">
      <c r="C47" s="1" t="n">
        <v>40</v>
      </c>
    </row>
    <row r="48" customFormat="false" ht="12.8" hidden="false" customHeight="false" outlineLevel="0" collapsed="false">
      <c r="A48" s="1" t="n">
        <v>1</v>
      </c>
      <c r="B48" s="1" t="n">
        <v>1</v>
      </c>
      <c r="E48" s="2" t="s">
        <v>49</v>
      </c>
      <c r="F48" s="7" t="s">
        <v>21</v>
      </c>
    </row>
    <row r="49" customFormat="false" ht="12.8" hidden="false" customHeight="false" outlineLevel="0" collapsed="false">
      <c r="A49" s="1" t="n">
        <v>2</v>
      </c>
      <c r="F49" s="7" t="s">
        <v>50</v>
      </c>
    </row>
    <row r="50" customFormat="false" ht="12.8" hidden="false" customHeight="false" outlineLevel="0" collapsed="false">
      <c r="C50" s="1" t="n">
        <v>32</v>
      </c>
      <c r="E50" s="2" t="s">
        <v>51</v>
      </c>
    </row>
    <row r="51" customFormat="false" ht="15.65" hidden="false" customHeight="false" outlineLevel="0" collapsed="false">
      <c r="A51" s="1" t="n">
        <v>7</v>
      </c>
      <c r="E51" s="2" t="s">
        <v>52</v>
      </c>
      <c r="F51" s="1" t="s">
        <v>42</v>
      </c>
    </row>
    <row r="52" customFormat="false" ht="12.8" hidden="false" customHeight="false" outlineLevel="0" collapsed="false">
      <c r="C52" s="1" t="n">
        <v>32</v>
      </c>
      <c r="E52" s="2" t="s">
        <v>53</v>
      </c>
    </row>
    <row r="53" customFormat="false" ht="15.65" hidden="false" customHeight="false" outlineLevel="0" collapsed="false">
      <c r="A53" s="1" t="n">
        <v>2</v>
      </c>
      <c r="B53" s="1" t="n">
        <v>1</v>
      </c>
      <c r="E53" s="2" t="s">
        <v>54</v>
      </c>
      <c r="F53" s="1" t="s">
        <v>55</v>
      </c>
    </row>
    <row r="54" customFormat="false" ht="12.8" hidden="false" customHeight="false" outlineLevel="0" collapsed="false">
      <c r="C54" s="1" t="n">
        <v>43</v>
      </c>
    </row>
    <row r="55" customFormat="false" ht="12.8" hidden="false" customHeight="false" outlineLevel="0" collapsed="false">
      <c r="A55" s="1" t="n">
        <v>3</v>
      </c>
    </row>
    <row r="56" customFormat="false" ht="12.8" hidden="false" customHeight="false" outlineLevel="0" collapsed="false">
      <c r="C56" s="1" t="n">
        <v>20</v>
      </c>
      <c r="E56" s="2" t="s">
        <v>56</v>
      </c>
    </row>
    <row r="57" customFormat="false" ht="12.8" hidden="false" customHeight="false" outlineLevel="0" collapsed="false">
      <c r="A57" s="1" t="n">
        <v>7</v>
      </c>
      <c r="B57" s="1" t="n">
        <v>1</v>
      </c>
      <c r="F57" s="7" t="s">
        <v>21</v>
      </c>
    </row>
    <row r="58" customFormat="false" ht="12.8" hidden="false" customHeight="false" outlineLevel="0" collapsed="false">
      <c r="C58" s="1" t="n">
        <v>36</v>
      </c>
    </row>
    <row r="59" customFormat="false" ht="12.8" hidden="false" customHeight="false" outlineLevel="0" collapsed="false">
      <c r="A59" s="1" t="n">
        <v>1</v>
      </c>
      <c r="E59" s="2" t="s">
        <v>57</v>
      </c>
    </row>
    <row r="60" customFormat="false" ht="12.8" hidden="false" customHeight="false" outlineLevel="0" collapsed="false">
      <c r="A60" s="1" t="n">
        <v>1</v>
      </c>
      <c r="B60" s="1" t="n">
        <v>1</v>
      </c>
      <c r="F60" s="7" t="s">
        <v>58</v>
      </c>
    </row>
    <row r="61" customFormat="false" ht="12.8" hidden="false" customHeight="false" outlineLevel="0" collapsed="false">
      <c r="C61" s="1" t="n">
        <v>20</v>
      </c>
      <c r="E61" s="2" t="s">
        <v>59</v>
      </c>
    </row>
    <row r="62" customFormat="false" ht="12.8" hidden="false" customHeight="false" outlineLevel="0" collapsed="false">
      <c r="A62" s="1" t="n">
        <v>2</v>
      </c>
      <c r="F62" s="7" t="s">
        <v>60</v>
      </c>
    </row>
    <row r="63" customFormat="false" ht="12.8" hidden="false" customHeight="false" outlineLevel="0" collapsed="false">
      <c r="A63" s="1" t="n">
        <v>2</v>
      </c>
      <c r="F63" s="7" t="s">
        <v>61</v>
      </c>
    </row>
    <row r="64" customFormat="false" ht="12.8" hidden="false" customHeight="false" outlineLevel="0" collapsed="false">
      <c r="C64" s="1" t="n">
        <v>17</v>
      </c>
      <c r="E64" s="2" t="s">
        <v>62</v>
      </c>
    </row>
    <row r="65" customFormat="false" ht="12.8" hidden="false" customHeight="false" outlineLevel="0" collapsed="false">
      <c r="A65" s="1" t="n">
        <f aca="false">SUM(A4:A64)</f>
        <v>215</v>
      </c>
      <c r="B65" s="1" t="n">
        <f aca="false">SUM(B4:B64)</f>
        <v>20</v>
      </c>
      <c r="C65" s="1" t="n">
        <f aca="false">SUM(C4:C64)</f>
        <v>995</v>
      </c>
      <c r="D65" s="1" t="n">
        <f aca="false">SUM(D4:D64)</f>
        <v>3</v>
      </c>
    </row>
  </sheetData>
  <mergeCells count="3">
    <mergeCell ref="A1:F1"/>
    <mergeCell ref="A2:B2"/>
    <mergeCell ref="C2:D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4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6"/>
    <col collapsed="false" customWidth="true" hidden="false" outlineLevel="0" max="2" min="2" style="1" width="23.77"/>
    <col collapsed="false" customWidth="true" hidden="false" outlineLevel="0" max="3" min="3" style="1" width="15.85"/>
    <col collapsed="false" customWidth="true" hidden="false" outlineLevel="0" max="4" min="4" style="1" width="11.91"/>
    <col collapsed="false" customWidth="true" hidden="false" outlineLevel="0" max="5" min="5" style="2" width="11.91"/>
    <col collapsed="false" customWidth="true" hidden="false" outlineLevel="0" max="6" min="6" style="1" width="74.43"/>
  </cols>
  <sheetData>
    <row r="1" customFormat="false" ht="15.65" hidden="false" customHeight="false" outlineLevel="0" collapsed="false">
      <c r="A1" s="3" t="s">
        <v>0</v>
      </c>
      <c r="B1" s="3"/>
      <c r="C1" s="3"/>
      <c r="D1" s="3"/>
      <c r="E1" s="3"/>
      <c r="F1" s="3"/>
    </row>
    <row r="2" customFormat="false" ht="12.8" hidden="false" customHeight="false" outlineLevel="0" collapsed="false">
      <c r="A2" s="4" t="s">
        <v>1</v>
      </c>
      <c r="B2" s="4"/>
      <c r="C2" s="4" t="s">
        <v>2</v>
      </c>
      <c r="D2" s="4"/>
      <c r="E2" s="5" t="s">
        <v>3</v>
      </c>
      <c r="F2" s="4" t="s">
        <v>4</v>
      </c>
    </row>
    <row r="3" customFormat="false" ht="12.8" hidden="false" customHeight="false" outlineLevel="0" collapsed="false">
      <c r="A3" s="4" t="s">
        <v>5</v>
      </c>
      <c r="B3" s="4" t="s">
        <v>6</v>
      </c>
      <c r="C3" s="4" t="s">
        <v>5</v>
      </c>
      <c r="D3" s="4" t="s">
        <v>6</v>
      </c>
      <c r="E3" s="5"/>
      <c r="F3" s="4"/>
    </row>
    <row r="4" customFormat="false" ht="15.65" hidden="false" customHeight="false" outlineLevel="0" collapsed="false">
      <c r="A4" s="4"/>
      <c r="B4" s="4"/>
      <c r="C4" s="4" t="n">
        <v>6</v>
      </c>
      <c r="D4" s="4" t="n">
        <v>1</v>
      </c>
      <c r="E4" s="5" t="n">
        <v>0.0513888888888889</v>
      </c>
      <c r="F4" s="4" t="s">
        <v>7</v>
      </c>
    </row>
    <row r="5" customFormat="false" ht="15.65" hidden="false" customHeight="false" outlineLevel="0" collapsed="false">
      <c r="A5" s="4" t="n">
        <v>2</v>
      </c>
      <c r="B5" s="4" t="n">
        <v>1</v>
      </c>
      <c r="C5" s="0"/>
      <c r="D5" s="0"/>
      <c r="E5" s="5" t="n">
        <v>0.0868055555555556</v>
      </c>
      <c r="F5" s="3" t="s">
        <v>8</v>
      </c>
    </row>
    <row r="6" customFormat="false" ht="12.8" hidden="false" customHeight="false" outlineLevel="0" collapsed="false">
      <c r="A6" s="4"/>
      <c r="B6" s="4"/>
      <c r="C6" s="4" t="n">
        <v>73</v>
      </c>
      <c r="D6" s="4"/>
      <c r="E6" s="5"/>
      <c r="F6" s="4"/>
    </row>
    <row r="7" customFormat="false" ht="12.8" hidden="false" customHeight="false" outlineLevel="0" collapsed="false">
      <c r="A7" s="4"/>
      <c r="B7" s="4"/>
      <c r="C7" s="4" t="n">
        <v>11</v>
      </c>
      <c r="D7" s="4"/>
      <c r="E7" s="5" t="n">
        <v>0.39375</v>
      </c>
      <c r="F7" s="4"/>
    </row>
    <row r="8" customFormat="false" ht="12.8" hidden="false" customHeight="false" outlineLevel="0" collapsed="false">
      <c r="A8" s="4" t="n">
        <v>10</v>
      </c>
      <c r="B8" s="4"/>
      <c r="C8" s="4"/>
      <c r="D8" s="4"/>
      <c r="E8" s="5"/>
      <c r="F8" s="4"/>
    </row>
    <row r="9" customFormat="false" ht="15.65" hidden="false" customHeight="false" outlineLevel="0" collapsed="false">
      <c r="A9" s="4" t="n">
        <v>5</v>
      </c>
      <c r="B9" s="4" t="n">
        <v>0</v>
      </c>
      <c r="C9" s="6"/>
      <c r="D9" s="6"/>
      <c r="E9" s="5" t="n">
        <v>0.510416666666667</v>
      </c>
      <c r="F9" s="3" t="s">
        <v>9</v>
      </c>
    </row>
    <row r="10" customFormat="false" ht="12.8" hidden="false" customHeight="false" outlineLevel="0" collapsed="false">
      <c r="A10" s="4"/>
      <c r="B10" s="4"/>
      <c r="C10" s="4" t="n">
        <v>30</v>
      </c>
      <c r="D10" s="4"/>
      <c r="E10" s="5"/>
      <c r="F10" s="4"/>
    </row>
    <row r="11" customFormat="false" ht="12.8" hidden="false" customHeight="false" outlineLevel="0" collapsed="false">
      <c r="A11" s="4" t="n">
        <v>9</v>
      </c>
      <c r="B11" s="4"/>
      <c r="C11" s="4"/>
      <c r="D11" s="4"/>
      <c r="E11" s="5"/>
      <c r="F11" s="4"/>
    </row>
    <row r="12" customFormat="false" ht="12.8" hidden="false" customHeight="false" outlineLevel="0" collapsed="false">
      <c r="C12" s="1" t="n">
        <v>21</v>
      </c>
    </row>
    <row r="13" customFormat="false" ht="15.65" hidden="false" customHeight="false" outlineLevel="0" collapsed="false">
      <c r="A13" s="1" t="n">
        <v>1</v>
      </c>
      <c r="E13" s="2" t="n">
        <v>0.756944444444444</v>
      </c>
      <c r="F13" s="7" t="s">
        <v>10</v>
      </c>
    </row>
    <row r="14" customFormat="false" ht="12.8" hidden="false" customHeight="false" outlineLevel="0" collapsed="false">
      <c r="A14" s="1" t="n">
        <v>1</v>
      </c>
      <c r="C14" s="1" t="n">
        <v>1</v>
      </c>
    </row>
    <row r="15" customFormat="false" ht="12.8" hidden="false" customHeight="false" outlineLevel="0" collapsed="false">
      <c r="C15" s="1" t="n">
        <v>26</v>
      </c>
    </row>
    <row r="16" customFormat="false" ht="12.8" hidden="false" customHeight="false" outlineLevel="0" collapsed="false">
      <c r="A16" s="1" t="n">
        <v>1</v>
      </c>
    </row>
    <row r="17" customFormat="false" ht="12.8" hidden="false" customHeight="false" outlineLevel="0" collapsed="false">
      <c r="C17" s="1" t="n">
        <v>42</v>
      </c>
    </row>
    <row r="18" customFormat="false" ht="15.65" hidden="false" customHeight="false" outlineLevel="0" collapsed="false">
      <c r="A18" s="1" t="n">
        <v>2</v>
      </c>
      <c r="B18" s="1" t="n">
        <v>1</v>
      </c>
      <c r="E18" s="2" t="s">
        <v>11</v>
      </c>
      <c r="F18" s="7" t="s">
        <v>12</v>
      </c>
    </row>
    <row r="19" customFormat="false" ht="12.8" hidden="false" customHeight="false" outlineLevel="0" collapsed="false">
      <c r="C19" s="1" t="n">
        <v>4</v>
      </c>
      <c r="D19" s="1" t="n">
        <v>1</v>
      </c>
      <c r="E19" s="2" t="s">
        <v>13</v>
      </c>
      <c r="F19" s="7" t="s">
        <v>14</v>
      </c>
    </row>
    <row r="20" customFormat="false" ht="12.8" hidden="false" customHeight="false" outlineLevel="0" collapsed="false">
      <c r="C20" s="1" t="n">
        <v>33</v>
      </c>
    </row>
    <row r="21" customFormat="false" ht="12.8" hidden="false" customHeight="false" outlineLevel="0" collapsed="false">
      <c r="A21" s="1" t="n">
        <v>4</v>
      </c>
      <c r="B21" s="1" t="n">
        <v>1</v>
      </c>
      <c r="E21" s="2" t="s">
        <v>15</v>
      </c>
      <c r="F21" s="7" t="s">
        <v>16</v>
      </c>
    </row>
    <row r="22" customFormat="false" ht="12.8" hidden="false" customHeight="false" outlineLevel="0" collapsed="false">
      <c r="C22" s="1" t="n">
        <v>22</v>
      </c>
    </row>
    <row r="23" customFormat="false" ht="15.65" hidden="false" customHeight="false" outlineLevel="0" collapsed="false">
      <c r="A23" s="1" t="n">
        <v>8</v>
      </c>
      <c r="B23" s="1" t="n">
        <v>0</v>
      </c>
      <c r="E23" s="2" t="s">
        <v>17</v>
      </c>
      <c r="F23" s="1" t="s">
        <v>18</v>
      </c>
      <c r="G23" s="8" t="s">
        <v>19</v>
      </c>
    </row>
    <row r="24" customFormat="false" ht="12.8" hidden="false" customHeight="false" outlineLevel="0" collapsed="false">
      <c r="C24" s="1" t="n">
        <v>27</v>
      </c>
      <c r="E24" s="0"/>
    </row>
    <row r="25" customFormat="false" ht="12.8" hidden="false" customHeight="false" outlineLevel="0" collapsed="false">
      <c r="A25" s="1" t="n">
        <v>2</v>
      </c>
      <c r="B25" s="1" t="n">
        <v>1</v>
      </c>
      <c r="E25" s="2" t="s">
        <v>20</v>
      </c>
      <c r="F25" s="7" t="s">
        <v>21</v>
      </c>
    </row>
    <row r="26" customFormat="false" ht="15.65" hidden="false" customHeight="false" outlineLevel="0" collapsed="false">
      <c r="A26" s="1" t="n">
        <v>1</v>
      </c>
      <c r="F26" s="1" t="s">
        <v>22</v>
      </c>
    </row>
    <row r="27" customFormat="false" ht="12.8" hidden="false" customHeight="false" outlineLevel="0" collapsed="false">
      <c r="A27" s="1" t="n">
        <v>85</v>
      </c>
      <c r="E27" s="0"/>
      <c r="F27" s="0"/>
    </row>
    <row r="28" customFormat="false" ht="15.65" hidden="false" customHeight="false" outlineLevel="0" collapsed="false">
      <c r="A28" s="1" t="n">
        <v>16</v>
      </c>
      <c r="E28" s="2" t="s">
        <v>23</v>
      </c>
      <c r="F28" s="7" t="s">
        <v>24</v>
      </c>
    </row>
    <row r="29" customFormat="false" ht="12.8" hidden="false" customHeight="false" outlineLevel="0" collapsed="false">
      <c r="A29" s="1" t="n">
        <v>3</v>
      </c>
      <c r="F29" s="7" t="s">
        <v>25</v>
      </c>
    </row>
    <row r="30" customFormat="false" ht="12.8" hidden="false" customHeight="false" outlineLevel="0" collapsed="false">
      <c r="C30" s="1" t="n">
        <v>114</v>
      </c>
      <c r="E30" s="2" t="s">
        <v>26</v>
      </c>
    </row>
    <row r="31" customFormat="false" ht="12.8" hidden="false" customHeight="false" outlineLevel="0" collapsed="false">
      <c r="C31" s="1" t="n">
        <v>33</v>
      </c>
      <c r="E31" s="2" t="s">
        <v>27</v>
      </c>
    </row>
    <row r="32" customFormat="false" ht="15.65" hidden="false" customHeight="false" outlineLevel="0" collapsed="false">
      <c r="A32" s="1" t="n">
        <v>13</v>
      </c>
      <c r="B32" s="1" t="n">
        <v>2</v>
      </c>
      <c r="F32" s="7" t="s">
        <v>28</v>
      </c>
    </row>
    <row r="33" customFormat="false" ht="15.65" hidden="false" customHeight="false" outlineLevel="0" collapsed="false">
      <c r="A33" s="1" t="n">
        <v>3</v>
      </c>
      <c r="E33" s="2" t="s">
        <v>29</v>
      </c>
      <c r="F33" s="1" t="s">
        <v>30</v>
      </c>
    </row>
    <row r="34" customFormat="false" ht="12.8" hidden="false" customHeight="false" outlineLevel="0" collapsed="false">
      <c r="C34" s="1" t="n">
        <v>78</v>
      </c>
      <c r="E34" s="2" t="s">
        <v>31</v>
      </c>
    </row>
    <row r="35" customFormat="false" ht="12.8" hidden="false" customHeight="false" outlineLevel="0" collapsed="false">
      <c r="A35" s="1" t="n">
        <v>3</v>
      </c>
      <c r="F35" s="7" t="s">
        <v>32</v>
      </c>
    </row>
    <row r="36" customFormat="false" ht="12.8" hidden="false" customHeight="false" outlineLevel="0" collapsed="false">
      <c r="C36" s="1" t="n">
        <v>48</v>
      </c>
      <c r="E36" s="2" t="s">
        <v>33</v>
      </c>
    </row>
    <row r="37" customFormat="false" ht="12.8" hidden="false" customHeight="false" outlineLevel="0" collapsed="false">
      <c r="C37" s="1" t="n">
        <v>34</v>
      </c>
      <c r="E37" s="2" t="s">
        <v>34</v>
      </c>
    </row>
    <row r="38" customFormat="false" ht="12.8" hidden="false" customHeight="false" outlineLevel="0" collapsed="false">
      <c r="A38" s="1" t="n">
        <v>5</v>
      </c>
      <c r="B38" s="1" t="n">
        <v>0</v>
      </c>
      <c r="E38" s="2" t="s">
        <v>35</v>
      </c>
      <c r="F38" s="7" t="s">
        <v>36</v>
      </c>
    </row>
    <row r="39" customFormat="false" ht="12.8" hidden="false" customHeight="false" outlineLevel="0" collapsed="false">
      <c r="C39" s="1" t="n">
        <v>38</v>
      </c>
      <c r="E39" s="2" t="s">
        <v>37</v>
      </c>
    </row>
    <row r="40" customFormat="false" ht="12.8" hidden="false" customHeight="false" outlineLevel="0" collapsed="false">
      <c r="A40" s="1" t="n">
        <v>5</v>
      </c>
      <c r="B40" s="1" t="n">
        <v>0</v>
      </c>
      <c r="E40" s="2" t="s">
        <v>38</v>
      </c>
      <c r="F40" s="7" t="s">
        <v>39</v>
      </c>
    </row>
    <row r="41" customFormat="false" ht="12.8" hidden="false" customHeight="false" outlineLevel="0" collapsed="false">
      <c r="C41" s="1" t="n">
        <v>43</v>
      </c>
      <c r="E41" s="2" t="s">
        <v>40</v>
      </c>
    </row>
    <row r="42" customFormat="false" ht="15.65" hidden="false" customHeight="false" outlineLevel="0" collapsed="false">
      <c r="A42" s="1" t="n">
        <v>4</v>
      </c>
      <c r="E42" s="2" t="s">
        <v>41</v>
      </c>
      <c r="F42" s="1" t="s">
        <v>42</v>
      </c>
    </row>
    <row r="43" customFormat="false" ht="12.8" hidden="false" customHeight="false" outlineLevel="0" collapsed="false">
      <c r="C43" s="1" t="n">
        <v>27</v>
      </c>
      <c r="E43" s="2" t="s">
        <v>43</v>
      </c>
    </row>
    <row r="44" customFormat="false" ht="15.65" hidden="false" customHeight="false" outlineLevel="0" collapsed="false">
      <c r="A44" s="1" t="n">
        <v>10</v>
      </c>
      <c r="E44" s="2" t="s">
        <v>44</v>
      </c>
      <c r="F44" s="1" t="s">
        <v>45</v>
      </c>
    </row>
    <row r="45" customFormat="false" ht="12.8" hidden="false" customHeight="false" outlineLevel="0" collapsed="false">
      <c r="C45" s="1" t="n">
        <v>42</v>
      </c>
      <c r="E45" s="2" t="s">
        <v>46</v>
      </c>
    </row>
    <row r="46" customFormat="false" ht="12.8" hidden="false" customHeight="false" outlineLevel="0" collapsed="false">
      <c r="A46" s="1" t="n">
        <v>6</v>
      </c>
      <c r="B46" s="1" t="n">
        <v>1</v>
      </c>
      <c r="E46" s="2" t="s">
        <v>47</v>
      </c>
      <c r="F46" s="7" t="s">
        <v>48</v>
      </c>
    </row>
    <row r="47" customFormat="false" ht="12.8" hidden="false" customHeight="false" outlineLevel="0" collapsed="false">
      <c r="C47" s="1" t="n">
        <v>40</v>
      </c>
    </row>
    <row r="48" customFormat="false" ht="12.8" hidden="false" customHeight="false" outlineLevel="0" collapsed="false">
      <c r="A48" s="1" t="n">
        <v>1</v>
      </c>
      <c r="B48" s="1" t="n">
        <v>1</v>
      </c>
      <c r="E48" s="2" t="s">
        <v>49</v>
      </c>
      <c r="F48" s="7" t="s">
        <v>21</v>
      </c>
    </row>
    <row r="49" customFormat="false" ht="12.8" hidden="false" customHeight="false" outlineLevel="0" collapsed="false">
      <c r="A49" s="1" t="n">
        <v>2</v>
      </c>
      <c r="F49" s="7" t="s">
        <v>50</v>
      </c>
    </row>
    <row r="50" customFormat="false" ht="12.8" hidden="false" customHeight="false" outlineLevel="0" collapsed="false">
      <c r="C50" s="1" t="n">
        <v>32</v>
      </c>
      <c r="E50" s="2" t="s">
        <v>51</v>
      </c>
    </row>
    <row r="51" customFormat="false" ht="15.65" hidden="false" customHeight="false" outlineLevel="0" collapsed="false">
      <c r="A51" s="1" t="n">
        <v>7</v>
      </c>
      <c r="E51" s="2" t="s">
        <v>52</v>
      </c>
      <c r="F51" s="1" t="s">
        <v>42</v>
      </c>
    </row>
    <row r="52" customFormat="false" ht="12.8" hidden="false" customHeight="false" outlineLevel="0" collapsed="false">
      <c r="C52" s="1" t="n">
        <v>32</v>
      </c>
      <c r="E52" s="2" t="s">
        <v>53</v>
      </c>
    </row>
    <row r="53" customFormat="false" ht="15.65" hidden="false" customHeight="false" outlineLevel="0" collapsed="false">
      <c r="A53" s="1" t="n">
        <v>3</v>
      </c>
      <c r="E53" s="2" t="s">
        <v>54</v>
      </c>
      <c r="F53" s="1" t="s">
        <v>55</v>
      </c>
    </row>
    <row r="54" customFormat="false" ht="12.8" hidden="false" customHeight="false" outlineLevel="0" collapsed="false">
      <c r="C54" s="1" t="n">
        <v>43</v>
      </c>
    </row>
    <row r="55" customFormat="false" ht="12.8" hidden="false" customHeight="false" outlineLevel="0" collapsed="false">
      <c r="A55" s="1" t="n">
        <v>3</v>
      </c>
    </row>
    <row r="56" customFormat="false" ht="12.8" hidden="false" customHeight="false" outlineLevel="0" collapsed="false">
      <c r="C56" s="1" t="n">
        <v>20</v>
      </c>
      <c r="E56" s="2" t="s">
        <v>56</v>
      </c>
    </row>
    <row r="57" customFormat="false" ht="12.8" hidden="false" customHeight="false" outlineLevel="0" collapsed="false">
      <c r="A57" s="1" t="n">
        <v>7</v>
      </c>
      <c r="B57" s="1" t="n">
        <v>1</v>
      </c>
      <c r="F57" s="7" t="s">
        <v>21</v>
      </c>
    </row>
    <row r="58" customFormat="false" ht="12.8" hidden="false" customHeight="false" outlineLevel="0" collapsed="false">
      <c r="C58" s="1" t="n">
        <v>36</v>
      </c>
    </row>
    <row r="59" customFormat="false" ht="12.8" hidden="false" customHeight="false" outlineLevel="0" collapsed="false">
      <c r="A59" s="1" t="n">
        <v>1</v>
      </c>
      <c r="E59" s="2" t="s">
        <v>57</v>
      </c>
    </row>
    <row r="60" customFormat="false" ht="12.8" hidden="false" customHeight="false" outlineLevel="0" collapsed="false">
      <c r="A60" s="1" t="n">
        <v>2</v>
      </c>
      <c r="B60" s="1" t="n">
        <v>0</v>
      </c>
      <c r="F60" s="7" t="s">
        <v>58</v>
      </c>
    </row>
    <row r="61" customFormat="false" ht="12.8" hidden="false" customHeight="false" outlineLevel="0" collapsed="false">
      <c r="C61" s="1" t="n">
        <v>20</v>
      </c>
      <c r="E61" s="2" t="s">
        <v>59</v>
      </c>
    </row>
    <row r="62" customFormat="false" ht="12.8" hidden="false" customHeight="false" outlineLevel="0" collapsed="false">
      <c r="A62" s="1" t="n">
        <v>2</v>
      </c>
      <c r="F62" s="7" t="s">
        <v>60</v>
      </c>
    </row>
    <row r="63" customFormat="false" ht="12.8" hidden="false" customHeight="false" outlineLevel="0" collapsed="false">
      <c r="A63" s="1" t="n">
        <v>2</v>
      </c>
      <c r="F63" s="7" t="s">
        <v>61</v>
      </c>
    </row>
    <row r="64" customFormat="false" ht="12.8" hidden="false" customHeight="false" outlineLevel="0" collapsed="false">
      <c r="C64" s="1" t="n">
        <v>17</v>
      </c>
      <c r="E64" s="2" t="s">
        <v>62</v>
      </c>
    </row>
    <row r="65" customFormat="false" ht="12.8" hidden="false" customHeight="false" outlineLevel="0" collapsed="false">
      <c r="A65" s="1" t="n">
        <f aca="false">SUM(A4:A64)</f>
        <v>229</v>
      </c>
      <c r="B65" s="1" t="n">
        <f aca="false">SUM(B4:B64)</f>
        <v>9</v>
      </c>
      <c r="C65" s="1" t="n">
        <f aca="false">SUM(C4:C64)</f>
        <v>993</v>
      </c>
      <c r="D65" s="1" t="n">
        <f aca="false">SUM(D4:D64)</f>
        <v>2</v>
      </c>
    </row>
    <row r="66" customFormat="false" ht="12.8" hidden="false" customHeight="false" outlineLevel="0" collapsed="false">
      <c r="A66" s="9" t="n">
        <f aca="false">A65/SUM(A65:B65)</f>
        <v>0.96218487394958</v>
      </c>
      <c r="B66" s="9" t="n">
        <f aca="false">B65/SUM(A65:B65)</f>
        <v>0.0378151260504202</v>
      </c>
      <c r="C66" s="9" t="n">
        <f aca="false">C65/SUM(C65:D65)</f>
        <v>0.997989949748744</v>
      </c>
      <c r="D66" s="9" t="n">
        <f aca="false">D65/SUM(C65:D65)</f>
        <v>0.00201005025125628</v>
      </c>
    </row>
    <row r="67" customFormat="false" ht="12.8" hidden="false" customHeight="false" outlineLevel="0" collapsed="false">
      <c r="A67" s="1" t="n">
        <f aca="false">SUM(A65:D65)</f>
        <v>1233</v>
      </c>
    </row>
    <row r="68" customFormat="false" ht="12.8" hidden="false" customHeight="false" outlineLevel="0" collapsed="false">
      <c r="A68" s="1" t="n">
        <f aca="false">A65+C65</f>
        <v>1222</v>
      </c>
      <c r="B68" s="1" t="n">
        <v>11</v>
      </c>
    </row>
    <row r="69" customFormat="false" ht="12.8" hidden="false" customHeight="false" outlineLevel="0" collapsed="false">
      <c r="A69" s="1" t="n">
        <f aca="false">A68/SUM(A68:B68)</f>
        <v>0.991078669910787</v>
      </c>
    </row>
  </sheetData>
  <mergeCells count="3">
    <mergeCell ref="A1:F1"/>
    <mergeCell ref="A2:B2"/>
    <mergeCell ref="C2:D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A58" activeCellId="0" sqref="A5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0" width="25.39"/>
    <col collapsed="false" customWidth="true" hidden="false" outlineLevel="0" max="2" min="2" style="10" width="21.91"/>
    <col collapsed="false" customWidth="true" hidden="false" outlineLevel="0" max="3" min="3" style="10" width="17.6"/>
    <col collapsed="false" customWidth="false" hidden="false" outlineLevel="0" max="4" min="4" style="10" width="11.53"/>
    <col collapsed="false" customWidth="true" hidden="false" outlineLevel="0" max="5" min="5" style="10" width="10.98"/>
    <col collapsed="false" customWidth="true" hidden="false" outlineLevel="0" max="6" min="6" style="10" width="66.29"/>
    <col collapsed="false" customWidth="false" hidden="false" outlineLevel="0" max="16384" min="7" style="10" width="11.53"/>
  </cols>
  <sheetData>
    <row r="1" customFormat="false" ht="12.8" hidden="false" customHeight="false" outlineLevel="0" collapsed="false">
      <c r="A1" s="10" t="n">
        <f aca="false">20880/30</f>
        <v>696</v>
      </c>
    </row>
    <row r="2" customFormat="false" ht="12.8" hidden="false" customHeight="false" outlineLevel="0" collapsed="false">
      <c r="A2" s="10" t="n">
        <f aca="false">A1/60</f>
        <v>11.6</v>
      </c>
      <c r="C2" s="10" t="n">
        <v>274620</v>
      </c>
    </row>
    <row r="3" customFormat="false" ht="12.8" hidden="false" customHeight="false" outlineLevel="0" collapsed="false">
      <c r="A3" s="10" t="n">
        <f aca="false">321990/30/60</f>
        <v>178.883333333333</v>
      </c>
      <c r="C3" s="10" t="n">
        <f aca="false">C2/30/60</f>
        <v>152.566666666667</v>
      </c>
    </row>
    <row r="4" customFormat="false" ht="12.8" hidden="false" customHeight="false" outlineLevel="0" collapsed="false">
      <c r="A4" s="10" t="n">
        <f aca="false">3*3600*30</f>
        <v>324000</v>
      </c>
    </row>
    <row r="5" customFormat="false" ht="15.65" hidden="false" customHeight="false" outlineLevel="0" collapsed="false">
      <c r="A5" s="11" t="s">
        <v>63</v>
      </c>
      <c r="B5" s="11"/>
      <c r="C5" s="11"/>
      <c r="D5" s="11"/>
      <c r="E5" s="11"/>
      <c r="F5" s="11"/>
    </row>
    <row r="6" customFormat="false" ht="12.8" hidden="false" customHeight="false" outlineLevel="0" collapsed="false">
      <c r="A6" s="12" t="s">
        <v>1</v>
      </c>
      <c r="B6" s="12"/>
      <c r="C6" s="12" t="s">
        <v>2</v>
      </c>
      <c r="D6" s="12"/>
      <c r="E6" s="13" t="s">
        <v>3</v>
      </c>
      <c r="F6" s="12" t="s">
        <v>4</v>
      </c>
    </row>
    <row r="7" customFormat="false" ht="12.8" hidden="false" customHeight="false" outlineLevel="0" collapsed="false">
      <c r="A7" s="10" t="s">
        <v>5</v>
      </c>
      <c r="B7" s="10" t="s">
        <v>6</v>
      </c>
      <c r="C7" s="10" t="s">
        <v>5</v>
      </c>
      <c r="D7" s="10" t="s">
        <v>6</v>
      </c>
    </row>
    <row r="8" customFormat="false" ht="12.8" hidden="false" customHeight="false" outlineLevel="0" collapsed="false">
      <c r="A8" s="10" t="n">
        <v>1</v>
      </c>
      <c r="C8" s="10" t="n">
        <v>4</v>
      </c>
      <c r="E8" s="10" t="s">
        <v>64</v>
      </c>
    </row>
    <row r="9" customFormat="false" ht="12.8" hidden="false" customHeight="false" outlineLevel="0" collapsed="false">
      <c r="C9" s="10" t="n">
        <v>13</v>
      </c>
      <c r="E9" s="10" t="s">
        <v>65</v>
      </c>
    </row>
    <row r="10" customFormat="false" ht="12.8" hidden="false" customHeight="false" outlineLevel="0" collapsed="false">
      <c r="C10" s="10" t="n">
        <v>3</v>
      </c>
    </row>
    <row r="11" customFormat="false" ht="15.65" hidden="false" customHeight="false" outlineLevel="0" collapsed="false">
      <c r="A11" s="10" t="n">
        <v>1</v>
      </c>
      <c r="E11" s="10" t="s">
        <v>66</v>
      </c>
      <c r="F11" s="14" t="s">
        <v>67</v>
      </c>
    </row>
    <row r="12" customFormat="false" ht="12.8" hidden="false" customHeight="false" outlineLevel="0" collapsed="false">
      <c r="C12" s="10" t="n">
        <v>14</v>
      </c>
      <c r="D12" s="10" t="n">
        <v>1</v>
      </c>
      <c r="E12" s="10" t="s">
        <v>68</v>
      </c>
      <c r="F12" s="14" t="s">
        <v>69</v>
      </c>
    </row>
    <row r="13" customFormat="false" ht="12.8" hidden="false" customHeight="false" outlineLevel="0" collapsed="false">
      <c r="C13" s="10" t="n">
        <v>3</v>
      </c>
    </row>
    <row r="14" customFormat="false" ht="15.65" hidden="false" customHeight="false" outlineLevel="0" collapsed="false">
      <c r="A14" s="10" t="n">
        <v>1</v>
      </c>
      <c r="E14" s="10" t="s">
        <v>70</v>
      </c>
      <c r="F14" s="14" t="s">
        <v>71</v>
      </c>
    </row>
    <row r="15" customFormat="false" ht="12.8" hidden="false" customHeight="false" outlineLevel="0" collapsed="false">
      <c r="A15" s="10" t="n">
        <v>3</v>
      </c>
    </row>
    <row r="16" customFormat="false" ht="12.8" hidden="false" customHeight="false" outlineLevel="0" collapsed="false">
      <c r="C16" s="10" t="n">
        <v>2</v>
      </c>
    </row>
    <row r="17" customFormat="false" ht="12.8" hidden="false" customHeight="false" outlineLevel="0" collapsed="false">
      <c r="C17" s="10" t="n">
        <v>4</v>
      </c>
    </row>
    <row r="18" customFormat="false" ht="15.65" hidden="false" customHeight="false" outlineLevel="0" collapsed="false">
      <c r="A18" s="10" t="n">
        <v>1</v>
      </c>
      <c r="E18" s="10" t="s">
        <v>72</v>
      </c>
      <c r="F18" s="14" t="s">
        <v>71</v>
      </c>
    </row>
    <row r="19" customFormat="false" ht="12.8" hidden="false" customHeight="false" outlineLevel="0" collapsed="false">
      <c r="C19" s="10" t="n">
        <v>12</v>
      </c>
    </row>
    <row r="20" customFormat="false" ht="12.8" hidden="false" customHeight="false" outlineLevel="0" collapsed="false">
      <c r="C20" s="10" t="n">
        <v>6</v>
      </c>
    </row>
    <row r="21" customFormat="false" ht="12.8" hidden="false" customHeight="false" outlineLevel="0" collapsed="false">
      <c r="C21" s="10" t="n">
        <v>52</v>
      </c>
    </row>
    <row r="22" customFormat="false" ht="15.65" hidden="false" customHeight="false" outlineLevel="0" collapsed="false">
      <c r="A22" s="10" t="n">
        <v>8</v>
      </c>
      <c r="B22" s="10" t="n">
        <v>2</v>
      </c>
      <c r="E22" s="10" t="s">
        <v>73</v>
      </c>
      <c r="F22" s="10" t="s">
        <v>74</v>
      </c>
    </row>
    <row r="23" customFormat="false" ht="12.8" hidden="false" customHeight="false" outlineLevel="0" collapsed="false">
      <c r="C23" s="10" t="n">
        <v>24</v>
      </c>
    </row>
    <row r="24" customFormat="false" ht="12.8" hidden="false" customHeight="false" outlineLevel="0" collapsed="false">
      <c r="A24" s="10" t="n">
        <v>3</v>
      </c>
    </row>
    <row r="25" customFormat="false" ht="12.8" hidden="false" customHeight="false" outlineLevel="0" collapsed="false">
      <c r="C25" s="10" t="n">
        <v>13</v>
      </c>
      <c r="E25" s="10" t="s">
        <v>75</v>
      </c>
    </row>
    <row r="26" customFormat="false" ht="12.8" hidden="false" customHeight="false" outlineLevel="0" collapsed="false">
      <c r="A26" s="10" t="n">
        <v>4</v>
      </c>
    </row>
    <row r="27" customFormat="false" ht="15.65" hidden="false" customHeight="false" outlineLevel="0" collapsed="false">
      <c r="A27" s="10" t="n">
        <v>2</v>
      </c>
      <c r="B27" s="10" t="n">
        <v>1</v>
      </c>
      <c r="E27" s="10" t="s">
        <v>76</v>
      </c>
      <c r="F27" s="10" t="s">
        <v>77</v>
      </c>
    </row>
    <row r="28" customFormat="false" ht="12.8" hidden="false" customHeight="false" outlineLevel="0" collapsed="false">
      <c r="C28" s="10" t="n">
        <v>30</v>
      </c>
      <c r="E28" s="10" t="s">
        <v>78</v>
      </c>
    </row>
    <row r="29" customFormat="false" ht="15.65" hidden="false" customHeight="false" outlineLevel="0" collapsed="false">
      <c r="A29" s="10" t="n">
        <v>2</v>
      </c>
      <c r="F29" s="14" t="s">
        <v>79</v>
      </c>
    </row>
    <row r="30" customFormat="false" ht="12.8" hidden="false" customHeight="false" outlineLevel="0" collapsed="false">
      <c r="C30" s="10" t="n">
        <v>2</v>
      </c>
    </row>
    <row r="31" customFormat="false" ht="15.65" hidden="false" customHeight="false" outlineLevel="0" collapsed="false">
      <c r="C31" s="10" t="n">
        <v>21</v>
      </c>
      <c r="D31" s="10" t="n">
        <v>1</v>
      </c>
      <c r="E31" s="15" t="s">
        <v>80</v>
      </c>
      <c r="F31" s="10" t="s">
        <v>81</v>
      </c>
    </row>
    <row r="32" customFormat="false" ht="12.8" hidden="false" customHeight="false" outlineLevel="0" collapsed="false">
      <c r="C32" s="10" t="n">
        <v>2</v>
      </c>
    </row>
    <row r="33" customFormat="false" ht="12.8" hidden="false" customHeight="false" outlineLevel="0" collapsed="false">
      <c r="C33" s="10" t="n">
        <v>1</v>
      </c>
    </row>
    <row r="34" customFormat="false" ht="15.65" hidden="false" customHeight="false" outlineLevel="0" collapsed="false">
      <c r="B34" s="10" t="n">
        <v>1</v>
      </c>
      <c r="F34" s="14" t="s">
        <v>82</v>
      </c>
      <c r="G34" s="14" t="s">
        <v>83</v>
      </c>
    </row>
    <row r="35" customFormat="false" ht="12.8" hidden="false" customHeight="false" outlineLevel="0" collapsed="false">
      <c r="B35" s="10" t="n">
        <v>1</v>
      </c>
      <c r="F35" s="14" t="s">
        <v>84</v>
      </c>
      <c r="G35" s="14" t="s">
        <v>83</v>
      </c>
    </row>
    <row r="36" customFormat="false" ht="12.8" hidden="false" customHeight="false" outlineLevel="0" collapsed="false">
      <c r="C36" s="10" t="n">
        <v>13</v>
      </c>
    </row>
    <row r="37" customFormat="false" ht="12.8" hidden="false" customHeight="false" outlineLevel="0" collapsed="false">
      <c r="A37" s="10" t="n">
        <v>2</v>
      </c>
      <c r="B37" s="10" t="n">
        <v>1</v>
      </c>
      <c r="E37" s="10" t="s">
        <v>85</v>
      </c>
      <c r="F37" s="14" t="s">
        <v>86</v>
      </c>
    </row>
    <row r="38" customFormat="false" ht="12.8" hidden="false" customHeight="false" outlineLevel="0" collapsed="false">
      <c r="C38" s="10" t="n">
        <v>25</v>
      </c>
    </row>
    <row r="39" customFormat="false" ht="12.8" hidden="false" customHeight="false" outlineLevel="0" collapsed="false">
      <c r="A39" s="10" t="n">
        <v>1</v>
      </c>
      <c r="B39" s="10" t="n">
        <v>3</v>
      </c>
      <c r="E39" s="10" t="s">
        <v>87</v>
      </c>
      <c r="F39" s="14" t="s">
        <v>88</v>
      </c>
    </row>
    <row r="40" customFormat="false" ht="12.8" hidden="false" customHeight="false" outlineLevel="0" collapsed="false">
      <c r="C40" s="10" t="n">
        <v>1</v>
      </c>
    </row>
    <row r="41" customFormat="false" ht="12.8" hidden="false" customHeight="false" outlineLevel="0" collapsed="false">
      <c r="C41" s="10" t="n">
        <v>27</v>
      </c>
    </row>
    <row r="42" customFormat="false" ht="15.65" hidden="false" customHeight="false" outlineLevel="0" collapsed="false">
      <c r="A42" s="10" t="n">
        <v>2</v>
      </c>
      <c r="F42" s="10" t="s">
        <v>89</v>
      </c>
    </row>
    <row r="43" customFormat="false" ht="12.8" hidden="false" customHeight="false" outlineLevel="0" collapsed="false">
      <c r="C43" s="10" t="n">
        <v>18</v>
      </c>
    </row>
    <row r="44" customFormat="false" ht="15.65" hidden="false" customHeight="false" outlineLevel="0" collapsed="false">
      <c r="A44" s="10" t="n">
        <v>1</v>
      </c>
      <c r="E44" s="10" t="s">
        <v>90</v>
      </c>
      <c r="F44" s="10" t="s">
        <v>91</v>
      </c>
    </row>
    <row r="45" customFormat="false" ht="12.8" hidden="false" customHeight="false" outlineLevel="0" collapsed="false">
      <c r="A45" s="10" t="n">
        <v>1</v>
      </c>
    </row>
    <row r="46" customFormat="false" ht="12.8" hidden="false" customHeight="false" outlineLevel="0" collapsed="false">
      <c r="C46" s="10" t="n">
        <v>6</v>
      </c>
    </row>
    <row r="47" customFormat="false" ht="12.8" hidden="false" customHeight="false" outlineLevel="0" collapsed="false">
      <c r="A47" s="10" t="n">
        <v>1</v>
      </c>
      <c r="E47" s="10" t="s">
        <v>92</v>
      </c>
    </row>
    <row r="48" customFormat="false" ht="12.8" hidden="false" customHeight="false" outlineLevel="0" collapsed="false">
      <c r="C48" s="10" t="n">
        <v>6</v>
      </c>
    </row>
    <row r="49" customFormat="false" ht="12.8" hidden="false" customHeight="false" outlineLevel="0" collapsed="false">
      <c r="C49" s="10" t="n">
        <v>5</v>
      </c>
    </row>
    <row r="50" customFormat="false" ht="12.8" hidden="false" customHeight="false" outlineLevel="0" collapsed="false">
      <c r="A50" s="10" t="n">
        <v>1</v>
      </c>
      <c r="E50" s="10" t="s">
        <v>93</v>
      </c>
      <c r="F50" s="14" t="s">
        <v>94</v>
      </c>
    </row>
    <row r="51" customFormat="false" ht="12.8" hidden="false" customHeight="false" outlineLevel="0" collapsed="false">
      <c r="C51" s="10" t="n">
        <v>1</v>
      </c>
    </row>
    <row r="52" customFormat="false" ht="12.8" hidden="false" customHeight="false" outlineLevel="0" collapsed="false">
      <c r="C52" s="10" t="n">
        <v>6</v>
      </c>
    </row>
    <row r="53" customFormat="false" ht="12.8" hidden="false" customHeight="false" outlineLevel="0" collapsed="false">
      <c r="A53" s="10" t="n">
        <v>1</v>
      </c>
      <c r="E53" s="10" t="s">
        <v>95</v>
      </c>
      <c r="F53" s="14" t="s">
        <v>96</v>
      </c>
    </row>
    <row r="54" customFormat="false" ht="12.8" hidden="false" customHeight="false" outlineLevel="0" collapsed="false">
      <c r="C54" s="10" t="n">
        <v>4</v>
      </c>
    </row>
    <row r="55" customFormat="false" ht="12.8" hidden="false" customHeight="false" outlineLevel="0" collapsed="false">
      <c r="A55" s="10" t="n">
        <v>2</v>
      </c>
      <c r="E55" s="10" t="s">
        <v>97</v>
      </c>
    </row>
    <row r="56" customFormat="false" ht="12.8" hidden="false" customHeight="false" outlineLevel="0" collapsed="false">
      <c r="C56" s="10" t="n">
        <v>10</v>
      </c>
    </row>
    <row r="57" customFormat="false" ht="12.8" hidden="false" customHeight="false" outlineLevel="0" collapsed="false">
      <c r="A57" s="10" t="n">
        <v>3</v>
      </c>
    </row>
  </sheetData>
  <mergeCells count="3">
    <mergeCell ref="A5:F5"/>
    <mergeCell ref="A6:B6"/>
    <mergeCell ref="C6:D6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6" activeCellId="0" sqref="B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0" width="25.39"/>
    <col collapsed="false" customWidth="true" hidden="false" outlineLevel="0" max="2" min="2" style="10" width="21.91"/>
    <col collapsed="false" customWidth="true" hidden="false" outlineLevel="0" max="3" min="3" style="10" width="17.6"/>
    <col collapsed="false" customWidth="false" hidden="false" outlineLevel="0" max="4" min="4" style="10" width="11.53"/>
    <col collapsed="false" customWidth="true" hidden="false" outlineLevel="0" max="5" min="5" style="10" width="10.98"/>
    <col collapsed="false" customWidth="true" hidden="false" outlineLevel="0" max="6" min="6" style="10" width="66.29"/>
    <col collapsed="false" customWidth="false" hidden="false" outlineLevel="0" max="7" min="7" style="10" width="11.53"/>
  </cols>
  <sheetData>
    <row r="1" customFormat="false" ht="12.8" hidden="false" customHeight="false" outlineLevel="0" collapsed="false">
      <c r="A1" s="10" t="n">
        <f aca="false">20880/30</f>
        <v>696</v>
      </c>
    </row>
    <row r="2" customFormat="false" ht="12.8" hidden="false" customHeight="false" outlineLevel="0" collapsed="false">
      <c r="A2" s="10" t="n">
        <f aca="false">A1/60</f>
        <v>11.6</v>
      </c>
      <c r="C2" s="10" t="n">
        <v>274620</v>
      </c>
    </row>
    <row r="3" customFormat="false" ht="12.8" hidden="false" customHeight="false" outlineLevel="0" collapsed="false">
      <c r="A3" s="10" t="n">
        <f aca="false">321990/30/60</f>
        <v>178.883333333333</v>
      </c>
      <c r="C3" s="10" t="n">
        <f aca="false">C2/30/60</f>
        <v>152.566666666667</v>
      </c>
    </row>
    <row r="4" customFormat="false" ht="12.8" hidden="false" customHeight="false" outlineLevel="0" collapsed="false">
      <c r="A4" s="10" t="n">
        <f aca="false">3*3600*30</f>
        <v>324000</v>
      </c>
    </row>
    <row r="5" customFormat="false" ht="15.65" hidden="false" customHeight="false" outlineLevel="0" collapsed="false">
      <c r="A5" s="11" t="s">
        <v>63</v>
      </c>
      <c r="B5" s="11"/>
      <c r="C5" s="11"/>
      <c r="D5" s="11"/>
      <c r="E5" s="11"/>
      <c r="F5" s="11"/>
    </row>
    <row r="6" customFormat="false" ht="12.8" hidden="false" customHeight="false" outlineLevel="0" collapsed="false">
      <c r="A6" s="12" t="s">
        <v>1</v>
      </c>
      <c r="B6" s="12"/>
      <c r="C6" s="12" t="s">
        <v>2</v>
      </c>
      <c r="D6" s="12"/>
      <c r="E6" s="13" t="s">
        <v>3</v>
      </c>
      <c r="F6" s="12" t="s">
        <v>4</v>
      </c>
    </row>
    <row r="7" customFormat="false" ht="12.8" hidden="false" customHeight="false" outlineLevel="0" collapsed="false">
      <c r="A7" s="10" t="s">
        <v>5</v>
      </c>
      <c r="B7" s="10" t="s">
        <v>6</v>
      </c>
      <c r="C7" s="10" t="s">
        <v>5</v>
      </c>
      <c r="D7" s="10" t="s">
        <v>6</v>
      </c>
    </row>
    <row r="8" customFormat="false" ht="12.8" hidden="false" customHeight="false" outlineLevel="0" collapsed="false">
      <c r="A8" s="10" t="n">
        <v>1</v>
      </c>
      <c r="C8" s="10" t="n">
        <v>4</v>
      </c>
      <c r="E8" s="10" t="s">
        <v>64</v>
      </c>
    </row>
    <row r="9" customFormat="false" ht="12.8" hidden="false" customHeight="false" outlineLevel="0" collapsed="false">
      <c r="C9" s="10" t="n">
        <v>13</v>
      </c>
      <c r="E9" s="10" t="s">
        <v>65</v>
      </c>
    </row>
    <row r="10" customFormat="false" ht="12.8" hidden="false" customHeight="false" outlineLevel="0" collapsed="false">
      <c r="C10" s="10" t="n">
        <v>3</v>
      </c>
    </row>
    <row r="11" customFormat="false" ht="15.65" hidden="false" customHeight="false" outlineLevel="0" collapsed="false">
      <c r="A11" s="10" t="n">
        <v>1</v>
      </c>
      <c r="E11" s="10" t="s">
        <v>66</v>
      </c>
      <c r="F11" s="14" t="s">
        <v>67</v>
      </c>
    </row>
    <row r="12" customFormat="false" ht="12.8" hidden="false" customHeight="false" outlineLevel="0" collapsed="false">
      <c r="C12" s="10" t="n">
        <v>14</v>
      </c>
      <c r="D12" s="10" t="n">
        <v>1</v>
      </c>
      <c r="E12" s="10" t="s">
        <v>68</v>
      </c>
      <c r="F12" s="14" t="s">
        <v>69</v>
      </c>
    </row>
    <row r="13" customFormat="false" ht="12.8" hidden="false" customHeight="false" outlineLevel="0" collapsed="false">
      <c r="C13" s="10" t="n">
        <v>3</v>
      </c>
    </row>
    <row r="14" customFormat="false" ht="15.65" hidden="false" customHeight="false" outlineLevel="0" collapsed="false">
      <c r="A14" s="10" t="n">
        <v>1</v>
      </c>
      <c r="E14" s="10" t="s">
        <v>70</v>
      </c>
      <c r="F14" s="14" t="s">
        <v>71</v>
      </c>
    </row>
    <row r="15" customFormat="false" ht="12.8" hidden="false" customHeight="false" outlineLevel="0" collapsed="false">
      <c r="A15" s="10" t="n">
        <v>3</v>
      </c>
    </row>
    <row r="16" customFormat="false" ht="12.8" hidden="false" customHeight="false" outlineLevel="0" collapsed="false">
      <c r="C16" s="10" t="n">
        <v>2</v>
      </c>
    </row>
    <row r="17" customFormat="false" ht="12.8" hidden="false" customHeight="false" outlineLevel="0" collapsed="false">
      <c r="C17" s="10" t="n">
        <v>4</v>
      </c>
    </row>
    <row r="18" customFormat="false" ht="15.65" hidden="false" customHeight="false" outlineLevel="0" collapsed="false">
      <c r="A18" s="10" t="n">
        <v>1</v>
      </c>
      <c r="E18" s="10" t="s">
        <v>72</v>
      </c>
      <c r="F18" s="14" t="s">
        <v>71</v>
      </c>
    </row>
    <row r="19" customFormat="false" ht="12.8" hidden="false" customHeight="false" outlineLevel="0" collapsed="false">
      <c r="C19" s="10" t="n">
        <v>12</v>
      </c>
    </row>
    <row r="20" customFormat="false" ht="12.8" hidden="false" customHeight="false" outlineLevel="0" collapsed="false">
      <c r="C20" s="10" t="n">
        <v>6</v>
      </c>
    </row>
    <row r="21" customFormat="false" ht="12.8" hidden="false" customHeight="false" outlineLevel="0" collapsed="false">
      <c r="C21" s="10" t="n">
        <v>52</v>
      </c>
    </row>
    <row r="22" customFormat="false" ht="15.65" hidden="false" customHeight="false" outlineLevel="0" collapsed="false">
      <c r="A22" s="10" t="n">
        <v>8</v>
      </c>
      <c r="B22" s="10" t="n">
        <v>2</v>
      </c>
      <c r="E22" s="10" t="s">
        <v>73</v>
      </c>
      <c r="F22" s="10" t="s">
        <v>74</v>
      </c>
    </row>
    <row r="23" customFormat="false" ht="12.8" hidden="false" customHeight="false" outlineLevel="0" collapsed="false">
      <c r="C23" s="10" t="n">
        <v>24</v>
      </c>
    </row>
    <row r="24" customFormat="false" ht="12.8" hidden="false" customHeight="false" outlineLevel="0" collapsed="false">
      <c r="A24" s="10" t="n">
        <v>3</v>
      </c>
    </row>
    <row r="25" customFormat="false" ht="12.8" hidden="false" customHeight="false" outlineLevel="0" collapsed="false">
      <c r="C25" s="10" t="n">
        <v>13</v>
      </c>
      <c r="E25" s="10" t="s">
        <v>75</v>
      </c>
    </row>
    <row r="26" customFormat="false" ht="12.8" hidden="false" customHeight="false" outlineLevel="0" collapsed="false">
      <c r="A26" s="10" t="n">
        <v>4</v>
      </c>
    </row>
    <row r="27" customFormat="false" ht="15.65" hidden="false" customHeight="false" outlineLevel="0" collapsed="false">
      <c r="A27" s="10" t="n">
        <v>2</v>
      </c>
      <c r="B27" s="10" t="n">
        <v>1</v>
      </c>
      <c r="E27" s="10" t="s">
        <v>76</v>
      </c>
      <c r="F27" s="10" t="s">
        <v>77</v>
      </c>
    </row>
    <row r="28" customFormat="false" ht="12.8" hidden="false" customHeight="false" outlineLevel="0" collapsed="false">
      <c r="C28" s="10" t="n">
        <v>30</v>
      </c>
      <c r="E28" s="10" t="s">
        <v>78</v>
      </c>
    </row>
    <row r="29" customFormat="false" ht="15.65" hidden="false" customHeight="false" outlineLevel="0" collapsed="false">
      <c r="A29" s="10" t="n">
        <v>2</v>
      </c>
      <c r="F29" s="14" t="s">
        <v>79</v>
      </c>
    </row>
    <row r="30" customFormat="false" ht="12.8" hidden="false" customHeight="false" outlineLevel="0" collapsed="false">
      <c r="C30" s="10" t="n">
        <v>2</v>
      </c>
    </row>
    <row r="31" customFormat="false" ht="15.65" hidden="false" customHeight="false" outlineLevel="0" collapsed="false">
      <c r="C31" s="10" t="n">
        <v>21</v>
      </c>
      <c r="D31" s="10" t="n">
        <v>1</v>
      </c>
      <c r="E31" s="15" t="s">
        <v>80</v>
      </c>
      <c r="F31" s="10" t="s">
        <v>81</v>
      </c>
    </row>
    <row r="32" customFormat="false" ht="12.8" hidden="false" customHeight="false" outlineLevel="0" collapsed="false">
      <c r="C32" s="10" t="n">
        <v>2</v>
      </c>
    </row>
    <row r="33" customFormat="false" ht="12.8" hidden="false" customHeight="false" outlineLevel="0" collapsed="false">
      <c r="C33" s="10" t="n">
        <v>1</v>
      </c>
    </row>
    <row r="34" customFormat="false" ht="15.65" hidden="false" customHeight="false" outlineLevel="0" collapsed="false">
      <c r="A34" s="10" t="n">
        <v>1</v>
      </c>
      <c r="B34" s="10" t="n">
        <v>0</v>
      </c>
      <c r="F34" s="14" t="s">
        <v>82</v>
      </c>
      <c r="G34" s="14" t="s">
        <v>83</v>
      </c>
    </row>
    <row r="35" customFormat="false" ht="12.8" hidden="false" customHeight="false" outlineLevel="0" collapsed="false">
      <c r="B35" s="10" t="n">
        <v>0</v>
      </c>
      <c r="C35" s="10" t="n">
        <v>1</v>
      </c>
      <c r="F35" s="14" t="s">
        <v>84</v>
      </c>
      <c r="G35" s="14" t="s">
        <v>83</v>
      </c>
    </row>
    <row r="36" customFormat="false" ht="12.8" hidden="false" customHeight="false" outlineLevel="0" collapsed="false">
      <c r="C36" s="10" t="n">
        <v>13</v>
      </c>
    </row>
    <row r="37" customFormat="false" ht="12.8" hidden="false" customHeight="false" outlineLevel="0" collapsed="false">
      <c r="A37" s="10" t="n">
        <v>3</v>
      </c>
      <c r="B37" s="10" t="n">
        <v>0</v>
      </c>
      <c r="E37" s="10" t="s">
        <v>85</v>
      </c>
      <c r="F37" s="14" t="s">
        <v>86</v>
      </c>
    </row>
    <row r="38" customFormat="false" ht="12.8" hidden="false" customHeight="false" outlineLevel="0" collapsed="false">
      <c r="C38" s="10" t="n">
        <v>25</v>
      </c>
    </row>
    <row r="39" customFormat="false" ht="12.8" hidden="false" customHeight="false" outlineLevel="0" collapsed="false">
      <c r="A39" s="10" t="n">
        <v>4</v>
      </c>
      <c r="B39" s="10" t="n">
        <v>0</v>
      </c>
      <c r="E39" s="10" t="s">
        <v>87</v>
      </c>
      <c r="F39" s="14" t="s">
        <v>88</v>
      </c>
    </row>
    <row r="40" customFormat="false" ht="12.8" hidden="false" customHeight="false" outlineLevel="0" collapsed="false">
      <c r="C40" s="10" t="n">
        <v>1</v>
      </c>
    </row>
    <row r="41" customFormat="false" ht="12.8" hidden="false" customHeight="false" outlineLevel="0" collapsed="false">
      <c r="C41" s="10" t="n">
        <v>27</v>
      </c>
    </row>
    <row r="42" customFormat="false" ht="15.65" hidden="false" customHeight="false" outlineLevel="0" collapsed="false">
      <c r="A42" s="10" t="n">
        <v>2</v>
      </c>
      <c r="F42" s="10" t="s">
        <v>89</v>
      </c>
    </row>
    <row r="43" customFormat="false" ht="12.8" hidden="false" customHeight="false" outlineLevel="0" collapsed="false">
      <c r="C43" s="10" t="n">
        <v>18</v>
      </c>
    </row>
    <row r="44" customFormat="false" ht="15.65" hidden="false" customHeight="false" outlineLevel="0" collapsed="false">
      <c r="A44" s="10" t="n">
        <v>1</v>
      </c>
      <c r="E44" s="10" t="s">
        <v>90</v>
      </c>
      <c r="F44" s="10" t="s">
        <v>91</v>
      </c>
    </row>
    <row r="45" customFormat="false" ht="12.8" hidden="false" customHeight="false" outlineLevel="0" collapsed="false">
      <c r="A45" s="10" t="n">
        <v>1</v>
      </c>
    </row>
    <row r="46" customFormat="false" ht="12.8" hidden="false" customHeight="false" outlineLevel="0" collapsed="false">
      <c r="C46" s="10" t="n">
        <v>6</v>
      </c>
    </row>
    <row r="47" customFormat="false" ht="12.8" hidden="false" customHeight="false" outlineLevel="0" collapsed="false">
      <c r="A47" s="10" t="n">
        <v>1</v>
      </c>
      <c r="E47" s="10" t="s">
        <v>92</v>
      </c>
    </row>
    <row r="48" customFormat="false" ht="12.8" hidden="false" customHeight="false" outlineLevel="0" collapsed="false">
      <c r="C48" s="10" t="n">
        <v>6</v>
      </c>
    </row>
    <row r="49" customFormat="false" ht="12.8" hidden="false" customHeight="false" outlineLevel="0" collapsed="false">
      <c r="C49" s="10" t="n">
        <v>5</v>
      </c>
    </row>
    <row r="50" customFormat="false" ht="12.8" hidden="false" customHeight="false" outlineLevel="0" collapsed="false">
      <c r="A50" s="10" t="n">
        <v>1</v>
      </c>
      <c r="E50" s="10" t="s">
        <v>93</v>
      </c>
      <c r="F50" s="14" t="s">
        <v>94</v>
      </c>
    </row>
    <row r="51" customFormat="false" ht="12.8" hidden="false" customHeight="false" outlineLevel="0" collapsed="false">
      <c r="C51" s="10" t="n">
        <v>1</v>
      </c>
    </row>
    <row r="52" customFormat="false" ht="12.8" hidden="false" customHeight="false" outlineLevel="0" collapsed="false">
      <c r="C52" s="10" t="n">
        <v>6</v>
      </c>
    </row>
    <row r="53" customFormat="false" ht="12.8" hidden="false" customHeight="false" outlineLevel="0" collapsed="false">
      <c r="A53" s="10" t="n">
        <v>1</v>
      </c>
      <c r="E53" s="10" t="s">
        <v>95</v>
      </c>
      <c r="F53" s="14" t="s">
        <v>96</v>
      </c>
    </row>
    <row r="55" customFormat="false" ht="12.8" hidden="false" customHeight="false" outlineLevel="0" collapsed="false">
      <c r="A55" s="10" t="n">
        <f aca="false">SUM(A8:A54)</f>
        <v>41</v>
      </c>
      <c r="B55" s="10" t="n">
        <f aca="false">SUM(B8:B54)</f>
        <v>3</v>
      </c>
      <c r="C55" s="10" t="n">
        <f aca="false">SUM(C8:C54)</f>
        <v>315</v>
      </c>
      <c r="D55" s="10" t="n">
        <f aca="false">SUM(D8:D54)</f>
        <v>2</v>
      </c>
    </row>
    <row r="56" customFormat="false" ht="12.8" hidden="false" customHeight="false" outlineLevel="0" collapsed="false">
      <c r="A56" s="10" t="n">
        <f aca="false">41/44*100</f>
        <v>93.1818181818182</v>
      </c>
    </row>
  </sheetData>
  <mergeCells count="3">
    <mergeCell ref="A5:F5"/>
    <mergeCell ref="A6:B6"/>
    <mergeCell ref="C6:D6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2026-02-05T14:30:33Z</dcterms:created>
  <dc:creator/>
  <dc:description/>
  <dc:language>en-US</dc:language>
  <cp:lastModifiedBy/>
  <dcterms:modified xsi:type="dcterms:W3CDTF">2026-02-05T18:26:19Z</dcterms:modified>
  <cp:revision>2</cp:revision>
  <dc:subject/>
  <dc:title/>
</cp:coreProperties>
</file>