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scending_passengers" sheetId="1" state="visible" r:id="rId3"/>
    <sheet name="all_D_passengers_70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s1</t>
        </r>
        <r>
          <rPr>
            <sz val="10"/>
            <rFont val="Noto Sans CJK SC"/>
            <family val="2"/>
          </rPr>
          <t xml:space="preserve">에 도착하는 시간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계단 꼭대기에서 </t>
        </r>
        <r>
          <rPr>
            <sz val="10"/>
            <rFont val="Arial"/>
            <family val="2"/>
          </rPr>
          <t xml:space="preserve">1.18m </t>
        </r>
        <r>
          <rPr>
            <sz val="10"/>
            <rFont val="Noto Sans CJK SC"/>
            <family val="2"/>
          </rPr>
          <t xml:space="preserve">아래까지 도착하는데 걸리는 시간</t>
        </r>
        <r>
          <rPr>
            <sz val="10"/>
            <rFont val="Arial"/>
            <family val="2"/>
          </rPr>
          <t xml:space="preserve">.</t>
        </r>
      </text>
    </comment>
    <comment ref="O1" authorId="0">
      <text>
        <r>
          <rPr>
            <sz val="10"/>
            <rFont val="Arial"/>
            <family val="2"/>
          </rPr>
          <t xml:space="preserve">6.14</t>
        </r>
        <r>
          <rPr>
            <sz val="10"/>
            <rFont val="Noto Sans CJK SC"/>
            <family val="2"/>
          </rPr>
          <t xml:space="preserve">초는 </t>
        </r>
        <r>
          <rPr>
            <sz val="10"/>
            <rFont val="Arial"/>
            <family val="2"/>
          </rPr>
          <t xml:space="preserve">s1</t>
        </r>
        <r>
          <rPr>
            <sz val="10"/>
            <rFont val="Noto Sans CJK SC"/>
            <family val="2"/>
          </rPr>
          <t xml:space="preserve">에 해당하는 승객의 </t>
        </r>
        <r>
          <rPr>
            <sz val="10"/>
            <rFont val="Arial"/>
            <family val="2"/>
          </rPr>
          <t xml:space="preserve">T_stair+T_floor</t>
        </r>
        <r>
          <rPr>
            <sz val="10"/>
            <rFont val="Noto Sans CJK SC"/>
            <family val="2"/>
          </rPr>
          <t xml:space="preserve">이다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빠르다고 가정한 것이다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따라서 승객의 </t>
        </r>
        <r>
          <rPr>
            <sz val="10"/>
            <rFont val="Arial"/>
            <family val="2"/>
          </rPr>
          <t xml:space="preserve">T_stair + T_floor</t>
        </r>
        <r>
          <rPr>
            <sz val="10"/>
            <rFont val="Noto Sans CJK SC"/>
            <family val="2"/>
          </rPr>
          <t xml:space="preserve">를 구한후 </t>
        </r>
        <r>
          <rPr>
            <sz val="10"/>
            <rFont val="Arial"/>
            <family val="2"/>
          </rPr>
          <t xml:space="preserve">T_at_s1</t>
        </r>
        <r>
          <rPr>
            <sz val="10"/>
            <rFont val="Noto Sans CJK SC"/>
            <family val="2"/>
          </rPr>
          <t xml:space="preserve">을 빼면 이 승객이 </t>
        </r>
        <r>
          <rPr>
            <sz val="10"/>
            <rFont val="Arial"/>
            <family val="2"/>
          </rPr>
          <t xml:space="preserve">s1</t>
        </r>
        <r>
          <rPr>
            <sz val="10"/>
            <rFont val="Noto Sans CJK SC"/>
            <family val="2"/>
          </rPr>
          <t xml:space="preserve">에서 </t>
        </r>
        <r>
          <rPr>
            <sz val="10"/>
            <rFont val="Arial"/>
            <family val="2"/>
          </rPr>
          <t xml:space="preserve">door1</t>
        </r>
        <r>
          <rPr>
            <sz val="10"/>
            <rFont val="Noto Sans CJK SC"/>
            <family val="2"/>
          </rPr>
          <t xml:space="preserve">까지 가는데 걸리는 시간이 된다</t>
        </r>
        <r>
          <rPr>
            <sz val="10"/>
            <rFont val="Arial"/>
            <family val="2"/>
          </rPr>
          <t xml:space="preserve">.</t>
        </r>
      </text>
    </comment>
    <comment ref="O62" authorId="0">
      <text>
        <r>
          <rPr>
            <sz val="10"/>
            <rFont val="Noto Sans CJK SC"/>
            <family val="2"/>
          </rPr>
          <t xml:space="preserve">이 승객들은 </t>
        </r>
        <r>
          <rPr>
            <sz val="10"/>
            <rFont val="Arial"/>
            <family val="2"/>
          </rPr>
          <t xml:space="preserve">4.6</t>
        </r>
        <r>
          <rPr>
            <sz val="10"/>
            <rFont val="Noto Sans CJK SC"/>
            <family val="2"/>
          </rPr>
          <t xml:space="preserve">초 보다 더 걸린 사람들이다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못탔거네</t>
        </r>
        <r>
          <rPr>
            <sz val="10"/>
            <rFont val="Arial"/>
            <family val="2"/>
          </rPr>
          <t xml:space="preserve">??</t>
        </r>
      </text>
    </comment>
    <comment ref="O63" authorId="0">
      <text>
        <r>
          <rPr>
            <sz val="10"/>
            <rFont val="Arial"/>
            <family val="2"/>
          </rPr>
          <t xml:space="preserve">4.6</t>
        </r>
        <r>
          <rPr>
            <sz val="10"/>
            <rFont val="Noto Sans CJK SC"/>
            <family val="2"/>
          </rPr>
          <t xml:space="preserve">초는 </t>
        </r>
        <r>
          <rPr>
            <sz val="10"/>
            <rFont val="Arial"/>
            <family val="2"/>
          </rPr>
          <t xml:space="preserve">s1</t>
        </r>
        <r>
          <rPr>
            <sz val="10"/>
            <rFont val="Noto Sans CJK SC"/>
            <family val="2"/>
          </rPr>
          <t xml:space="preserve">에 해당하는 승객이 계단 꼭대기에서 </t>
        </r>
        <r>
          <rPr>
            <sz val="10"/>
            <rFont val="Arial"/>
            <family val="2"/>
          </rPr>
          <t xml:space="preserve">door1</t>
        </r>
        <r>
          <rPr>
            <sz val="10"/>
            <rFont val="Noto Sans CJK SC"/>
            <family val="2"/>
          </rPr>
          <t xml:space="preserve">까지 가는데 걸리는 시간</t>
        </r>
        <r>
          <rPr>
            <sz val="10"/>
            <rFont val="Arial"/>
            <family val="2"/>
          </rPr>
          <t xml:space="preserve">6.14</t>
        </r>
        <r>
          <rPr>
            <sz val="10"/>
            <rFont val="Noto Sans CJK SC"/>
            <family val="2"/>
          </rPr>
          <t xml:space="preserve">초에서</t>
        </r>
        <r>
          <rPr>
            <sz val="10"/>
            <rFont val="Arial"/>
            <family val="2"/>
          </rPr>
          <t xml:space="preserve">,
</t>
        </r>
        <r>
          <rPr>
            <sz val="10"/>
            <rFont val="Noto Sans CJK SC"/>
            <family val="2"/>
          </rPr>
          <t xml:space="preserve">계단 꼭대기에서 </t>
        </r>
        <r>
          <rPr>
            <sz val="10"/>
            <rFont val="Arial"/>
            <family val="2"/>
          </rPr>
          <t xml:space="preserve">s1</t>
        </r>
        <r>
          <rPr>
            <sz val="10"/>
            <rFont val="Noto Sans CJK SC"/>
            <family val="2"/>
          </rPr>
          <t xml:space="preserve">까지 가는데 걸리는 시간 </t>
        </r>
        <r>
          <rPr>
            <sz val="10"/>
            <rFont val="Arial"/>
            <family val="2"/>
          </rPr>
          <t xml:space="preserve">1.54</t>
        </r>
        <r>
          <rPr>
            <sz val="10"/>
            <rFont val="Noto Sans CJK SC"/>
            <family val="2"/>
          </rPr>
          <t xml:space="preserve">초를 뺀 값이다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당연히 </t>
        </r>
        <r>
          <rPr>
            <sz val="10"/>
            <rFont val="Arial"/>
            <family val="2"/>
          </rPr>
          <t xml:space="preserve">s</t>
        </r>
        <r>
          <rPr>
            <sz val="10"/>
            <rFont val="Noto Sans CJK SC"/>
            <family val="2"/>
          </rPr>
          <t xml:space="preserve">값이 </t>
        </r>
        <r>
          <rPr>
            <sz val="10"/>
            <rFont val="Arial"/>
            <family val="2"/>
          </rPr>
          <t xml:space="preserve">4.6</t>
        </r>
        <r>
          <rPr>
            <sz val="10"/>
            <rFont val="Noto Sans CJK SC"/>
            <family val="2"/>
          </rPr>
          <t xml:space="preserve">초인 지점이니</t>
        </r>
        <r>
          <rPr>
            <sz val="10"/>
            <rFont val="Arial"/>
            <family val="2"/>
          </rPr>
          <t xml:space="preserve">..
</t>
        </r>
        <r>
          <rPr>
            <sz val="10"/>
            <rFont val="Noto Sans CJK SC"/>
            <family val="2"/>
          </rPr>
          <t xml:space="preserve">당연한 값이다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<sst xmlns="http://schemas.openxmlformats.org/spreadsheetml/2006/main" count="56" uniqueCount="35">
  <si>
    <t xml:space="preserve">ID</t>
  </si>
  <si>
    <t xml:space="preserve">stairs --&gt; floor [s]</t>
  </si>
  <si>
    <t xml:space="preserve">floor -&gt; psd [s]</t>
  </si>
  <si>
    <r>
      <rPr>
        <b val="true"/>
        <sz val="10"/>
        <rFont val="Noto Sans CJK SC"/>
        <family val="2"/>
      </rPr>
      <t xml:space="preserve">특징</t>
    </r>
    <r>
      <rPr>
        <b val="true"/>
        <sz val="10"/>
        <rFont val="Arial"/>
        <family val="2"/>
      </rPr>
      <t xml:space="preserve">(door2</t>
    </r>
    <r>
      <rPr>
        <b val="true"/>
        <sz val="10"/>
        <rFont val="Noto Sans CJK SC"/>
        <family val="2"/>
      </rPr>
      <t xml:space="preserve">는 제외</t>
    </r>
    <r>
      <rPr>
        <b val="true"/>
        <sz val="10"/>
        <rFont val="Arial"/>
        <family val="2"/>
      </rPr>
      <t xml:space="preserve">)</t>
    </r>
  </si>
  <si>
    <t xml:space="preserve">T_stairs – T_floor</t>
  </si>
  <si>
    <t xml:space="preserve">T_at_s1_1.18 [s]</t>
  </si>
  <si>
    <t xml:space="preserve">T_at_s2_2.20 [s]</t>
  </si>
  <si>
    <t xml:space="preserve">T_at_s3_2.88 [s]</t>
  </si>
  <si>
    <t xml:space="preserve">T_s1_to_door1_6.14</t>
  </si>
  <si>
    <t xml:space="preserve">T_s2_to_door1_8.9</t>
  </si>
  <si>
    <t xml:space="preserve">T_s3_to_door1_11.92</t>
  </si>
  <si>
    <t xml:space="preserve">T_s0_to_door1</t>
  </si>
  <si>
    <t xml:space="preserve">큰아이</t>
  </si>
  <si>
    <t xml:space="preserve">작은 어린이</t>
  </si>
  <si>
    <r>
      <rPr>
        <sz val="10"/>
        <rFont val="Noto Sans CJK SC"/>
        <family val="2"/>
      </rPr>
      <t xml:space="preserve">할머니 아이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 xml:space="preserve">같이</t>
    </r>
  </si>
  <si>
    <t xml:space="preserve">여기가 못 통과한 사람들</t>
  </si>
  <si>
    <t xml:space="preserve">만약 못보고 닫았다면</t>
  </si>
  <si>
    <r>
      <rPr>
        <sz val="10"/>
        <rFont val="Noto Sans CJK SC"/>
        <family val="2"/>
      </rPr>
      <t xml:space="preserve">여유시간</t>
    </r>
    <r>
      <rPr>
        <sz val="10"/>
        <rFont val="Arial"/>
        <family val="2"/>
      </rPr>
      <t xml:space="preserve">[s]</t>
    </r>
  </si>
  <si>
    <t xml:space="preserve">반대로 안태우겠다는 전략으로 가야할듯</t>
  </si>
  <si>
    <t xml:space="preserve">여기는 마진을 줘서 태워야 함</t>
  </si>
  <si>
    <t xml:space="preserve">video_id</t>
  </si>
  <si>
    <t xml:space="preserve">T_stairs</t>
  </si>
  <si>
    <t xml:space="preserve">s0_frame</t>
  </si>
  <si>
    <t xml:space="preserve">s_floor_frame</t>
  </si>
  <si>
    <t xml:space="preserve">s_door_frame</t>
  </si>
  <si>
    <t xml:space="preserve">T_floor</t>
  </si>
  <si>
    <t xml:space="preserve">못탐</t>
  </si>
  <si>
    <r>
      <rPr>
        <sz val="10"/>
        <rFont val="Noto Sans CJK SC"/>
        <family val="2"/>
      </rPr>
      <t xml:space="preserve">플랫폼 중간쯤에서 닫힘 취급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승객은 멈칫하고 안탐</t>
    </r>
  </si>
  <si>
    <r>
      <rPr>
        <sz val="10"/>
        <rFont val="Noto Sans CJK SC"/>
        <family val="2"/>
      </rPr>
      <t xml:space="preserve">어린이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할머니 기다리느라고늦음</t>
    </r>
  </si>
  <si>
    <r>
      <rPr>
        <sz val="10"/>
        <rFont val="Noto Sans CJK SC"/>
        <family val="2"/>
      </rPr>
      <t xml:space="preserve">계단 아래쪽에서 닫힘 시작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못탐</t>
    </r>
  </si>
  <si>
    <t xml:space="preserve">door2</t>
  </si>
  <si>
    <t xml:space="preserve">door3</t>
  </si>
  <si>
    <t xml:space="preserve">-</t>
  </si>
  <si>
    <t xml:space="preserve">앞에서 조심하면서 탐</t>
  </si>
  <si>
    <t xml:space="preserve">설명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</si>
</sst>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Noto Sans CJK SC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4" activeCellId="1" sqref="A1:G62 J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2" width="16.2"/>
    <col collapsed="false" customWidth="true" hidden="false" outlineLevel="0" max="3" min="3" style="2" width="9.6"/>
    <col collapsed="false" customWidth="true" hidden="false" outlineLevel="0" max="4" min="4" style="3" width="9.6"/>
    <col collapsed="false" customWidth="true" hidden="false" outlineLevel="0" max="5" min="5" style="4" width="9.6"/>
    <col collapsed="false" customWidth="true" hidden="false" outlineLevel="0" max="6" min="6" style="4" width="13.65"/>
    <col collapsed="false" customWidth="true" hidden="false" outlineLevel="0" max="7" min="7" style="4" width="13.76"/>
    <col collapsed="false" customWidth="true" hidden="false" outlineLevel="0" max="8" min="8" style="3" width="14.12"/>
    <col collapsed="false" customWidth="true" hidden="false" outlineLevel="0" max="9" min="9" style="2" width="14.12"/>
    <col collapsed="false" customWidth="true" hidden="false" outlineLevel="0" max="11" min="10" style="2" width="16.78"/>
    <col collapsed="false" customWidth="true" hidden="false" outlineLevel="0" max="14" min="12" style="2" width="15.74"/>
    <col collapsed="false" customWidth="true" hidden="false" outlineLevel="0" max="15" min="15" style="2" width="32.43"/>
    <col collapsed="false" customWidth="true" hidden="false" outlineLevel="0" max="16" min="16" style="2" width="18.41"/>
    <col collapsed="false" customWidth="true" hidden="false" outlineLevel="0" max="17" min="17" style="2" width="24.2"/>
    <col collapsed="false" customWidth="true" hidden="false" outlineLevel="0" max="18" min="18" style="2" width="20.26"/>
    <col collapsed="false" customWidth="false" hidden="false" outlineLevel="0" max="16384" min="22" style="1" width="11.53"/>
  </cols>
  <sheetData>
    <row r="1" s="9" customFormat="true" ht="15.65" hidden="false" customHeight="false" outlineLevel="0" collapsed="false">
      <c r="A1" s="5" t="s">
        <v>0</v>
      </c>
      <c r="B1" s="6" t="s">
        <v>1</v>
      </c>
      <c r="C1" s="0"/>
      <c r="D1" s="0"/>
      <c r="E1" s="0"/>
      <c r="F1" s="0"/>
      <c r="G1" s="0"/>
      <c r="H1" s="0"/>
      <c r="I1" s="6" t="s">
        <v>2</v>
      </c>
      <c r="J1" s="7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8" t="s">
        <v>11</v>
      </c>
      <c r="S1" s="0"/>
      <c r="T1" s="0"/>
      <c r="U1" s="0"/>
    </row>
    <row r="2" customFormat="false" ht="12.8" hidden="false" customHeight="false" outlineLevel="0" collapsed="false">
      <c r="A2" s="10" t="n">
        <v>1</v>
      </c>
      <c r="B2" s="11" t="n">
        <v>5.5</v>
      </c>
      <c r="C2" s="0"/>
      <c r="D2" s="0"/>
      <c r="E2" s="0"/>
      <c r="F2" s="0"/>
      <c r="G2" s="0"/>
      <c r="H2" s="0"/>
      <c r="I2" s="11" t="n">
        <v>2.5</v>
      </c>
      <c r="J2" s="11"/>
      <c r="K2" s="11" t="n">
        <v>3</v>
      </c>
      <c r="L2" s="11" t="n">
        <f aca="false">1.18/3.28*B2</f>
        <v>1.97865853658537</v>
      </c>
      <c r="M2" s="11" t="n">
        <f aca="false">2.2/3.28*B2</f>
        <v>3.6890243902439</v>
      </c>
      <c r="N2" s="11" t="n">
        <f aca="false">2.88/3.28*B2</f>
        <v>4.82926829268293</v>
      </c>
      <c r="O2" s="11" t="n">
        <f aca="false">B2+I2-L2</f>
        <v>6.02134146341463</v>
      </c>
      <c r="P2" s="11" t="n">
        <f aca="false">B2+I2-M2</f>
        <v>4.3109756097561</v>
      </c>
      <c r="Q2" s="11" t="n">
        <f aca="false">B2+I2-N2</f>
        <v>3.17073170731707</v>
      </c>
      <c r="R2" s="2" t="n">
        <f aca="false">B2+I2</f>
        <v>8</v>
      </c>
    </row>
    <row r="3" customFormat="false" ht="12.8" hidden="false" customHeight="false" outlineLevel="0" collapsed="false">
      <c r="A3" s="10" t="n">
        <v>2</v>
      </c>
      <c r="B3" s="11" t="n">
        <v>5.7</v>
      </c>
      <c r="C3" s="0"/>
      <c r="D3" s="0"/>
      <c r="E3" s="0"/>
      <c r="F3" s="0"/>
      <c r="G3" s="0"/>
      <c r="H3" s="0"/>
      <c r="I3" s="11" t="n">
        <v>3.53</v>
      </c>
      <c r="J3" s="11"/>
      <c r="K3" s="11" t="n">
        <v>2.17</v>
      </c>
      <c r="L3" s="11" t="n">
        <f aca="false">1.18/3.28*B3</f>
        <v>2.05060975609756</v>
      </c>
      <c r="M3" s="11" t="n">
        <f aca="false">2.2/3.28*B3</f>
        <v>3.82317073170732</v>
      </c>
      <c r="N3" s="11" t="n">
        <f aca="false">2.88/3.28*B3</f>
        <v>5.00487804878049</v>
      </c>
      <c r="O3" s="11" t="n">
        <f aca="false">B3+I3-L3</f>
        <v>7.17939024390244</v>
      </c>
      <c r="P3" s="11" t="n">
        <f aca="false">B3+I3-M3</f>
        <v>5.40682926829268</v>
      </c>
      <c r="Q3" s="11" t="n">
        <f aca="false">B3+I3-N3</f>
        <v>4.22512195121951</v>
      </c>
      <c r="R3" s="2" t="n">
        <f aca="false">B3+I3</f>
        <v>9.23</v>
      </c>
    </row>
    <row r="4" customFormat="false" ht="12.8" hidden="false" customHeight="false" outlineLevel="0" collapsed="false">
      <c r="A4" s="10" t="n">
        <v>2</v>
      </c>
      <c r="B4" s="11" t="n">
        <v>4.8</v>
      </c>
      <c r="C4" s="0" t="n">
        <v>4.86666666666667</v>
      </c>
      <c r="D4" s="0"/>
      <c r="E4" s="0"/>
      <c r="F4" s="0"/>
      <c r="G4" s="0"/>
      <c r="H4" s="0"/>
      <c r="I4" s="11" t="n">
        <v>7.47</v>
      </c>
      <c r="J4" s="12" t="s">
        <v>12</v>
      </c>
      <c r="K4" s="11" t="n">
        <v>-2.67</v>
      </c>
      <c r="L4" s="11" t="n">
        <f aca="false">1.18/3.28*B4</f>
        <v>1.72682926829268</v>
      </c>
      <c r="M4" s="11" t="n">
        <f aca="false">2.2/3.28*B4</f>
        <v>3.21951219512195</v>
      </c>
      <c r="N4" s="11" t="n">
        <f aca="false">2.88/3.28*B4</f>
        <v>4.21463414634146</v>
      </c>
      <c r="O4" s="11" t="n">
        <f aca="false">B4+I4-L4</f>
        <v>10.5431707317073</v>
      </c>
      <c r="P4" s="11" t="n">
        <f aca="false">B4+I4-M4</f>
        <v>9.05048780487805</v>
      </c>
      <c r="Q4" s="11" t="n">
        <f aca="false">B4+I4-N4</f>
        <v>8.05536585365854</v>
      </c>
      <c r="R4" s="2" t="n">
        <f aca="false">B4+I4</f>
        <v>12.27</v>
      </c>
    </row>
    <row r="5" customFormat="false" ht="12.8" hidden="false" customHeight="false" outlineLevel="0" collapsed="false">
      <c r="A5" s="10" t="n">
        <v>2</v>
      </c>
      <c r="B5" s="11" t="n">
        <v>6.73</v>
      </c>
      <c r="C5" s="0" t="n">
        <v>7.56666666666667</v>
      </c>
      <c r="D5" s="0"/>
      <c r="E5" s="0"/>
      <c r="F5" s="0"/>
      <c r="G5" s="0"/>
      <c r="H5" s="0"/>
      <c r="I5" s="11" t="n">
        <v>2.8</v>
      </c>
      <c r="J5" s="12" t="s">
        <v>13</v>
      </c>
      <c r="K5" s="11" t="n">
        <v>3.93</v>
      </c>
      <c r="L5" s="11" t="n">
        <f aca="false">1.18/3.28*B5</f>
        <v>2.42115853658537</v>
      </c>
      <c r="M5" s="11" t="n">
        <f aca="false">2.2/3.28*B5</f>
        <v>4.5140243902439</v>
      </c>
      <c r="N5" s="11" t="n">
        <f aca="false">2.88/3.28*B5</f>
        <v>5.90926829268293</v>
      </c>
      <c r="O5" s="11" t="n">
        <f aca="false">B5+I5-L5</f>
        <v>7.10884146341464</v>
      </c>
      <c r="P5" s="11" t="n">
        <f aca="false">B5+I5-M5</f>
        <v>5.0159756097561</v>
      </c>
      <c r="Q5" s="11" t="n">
        <f aca="false">B5+I5-N5</f>
        <v>3.62073170731707</v>
      </c>
      <c r="R5" s="2" t="n">
        <f aca="false">B5+I5</f>
        <v>9.53</v>
      </c>
    </row>
    <row r="6" customFormat="false" ht="15.65" hidden="false" customHeight="false" outlineLevel="0" collapsed="false">
      <c r="A6" s="10" t="n">
        <v>2</v>
      </c>
      <c r="B6" s="11" t="n">
        <v>7.2</v>
      </c>
      <c r="C6" s="0" t="n">
        <v>7.8</v>
      </c>
      <c r="D6" s="0"/>
      <c r="E6" s="0"/>
      <c r="F6" s="0"/>
      <c r="G6" s="0"/>
      <c r="H6" s="0"/>
      <c r="I6" s="11" t="n">
        <v>3.43</v>
      </c>
      <c r="J6" s="12" t="s">
        <v>14</v>
      </c>
      <c r="K6" s="11" t="n">
        <v>3.77</v>
      </c>
      <c r="L6" s="11" t="n">
        <f aca="false">1.18/3.28*B6</f>
        <v>2.59024390243902</v>
      </c>
      <c r="M6" s="11" t="n">
        <f aca="false">2.2/3.28*B6</f>
        <v>4.82926829268293</v>
      </c>
      <c r="N6" s="11" t="n">
        <f aca="false">2.88/3.28*B6</f>
        <v>6.3219512195122</v>
      </c>
      <c r="O6" s="11" t="n">
        <f aca="false">B6+I6-L6</f>
        <v>8.03975609756098</v>
      </c>
      <c r="P6" s="11" t="n">
        <f aca="false">B6+I6-M6</f>
        <v>5.80073170731707</v>
      </c>
      <c r="Q6" s="11" t="n">
        <f aca="false">B6+I6-N6</f>
        <v>4.30804878048781</v>
      </c>
      <c r="R6" s="2" t="n">
        <f aca="false">B6+I6</f>
        <v>10.63</v>
      </c>
    </row>
    <row r="7" customFormat="false" ht="12.8" hidden="false" customHeight="false" outlineLevel="0" collapsed="false">
      <c r="A7" s="10" t="n">
        <v>2</v>
      </c>
      <c r="B7" s="11" t="n">
        <v>6.7</v>
      </c>
      <c r="C7" s="0" t="n">
        <v>6.66666666666667</v>
      </c>
      <c r="D7" s="0"/>
      <c r="E7" s="0"/>
      <c r="F7" s="0"/>
      <c r="G7" s="0"/>
      <c r="H7" s="0"/>
      <c r="I7" s="11" t="n">
        <v>1.93</v>
      </c>
      <c r="J7" s="11"/>
      <c r="K7" s="11" t="n">
        <v>4.77</v>
      </c>
      <c r="L7" s="11" t="n">
        <f aca="false">1.18/3.28*B7</f>
        <v>2.41036585365854</v>
      </c>
      <c r="M7" s="11" t="n">
        <f aca="false">2.2/3.28*B7</f>
        <v>4.49390243902439</v>
      </c>
      <c r="N7" s="11" t="n">
        <f aca="false">2.88/3.28*B7</f>
        <v>5.88292682926829</v>
      </c>
      <c r="O7" s="11" t="n">
        <f aca="false">B7+I7-L7</f>
        <v>6.21963414634146</v>
      </c>
      <c r="P7" s="11" t="n">
        <f aca="false">B7+I7-M7</f>
        <v>4.13609756097561</v>
      </c>
      <c r="Q7" s="11" t="n">
        <f aca="false">B7+I7-N7</f>
        <v>2.74707317073171</v>
      </c>
      <c r="R7" s="2" t="n">
        <f aca="false">B7+I7</f>
        <v>8.63</v>
      </c>
    </row>
    <row r="8" customFormat="false" ht="12.8" hidden="false" customHeight="false" outlineLevel="0" collapsed="false">
      <c r="A8" s="10" t="n">
        <v>2</v>
      </c>
      <c r="B8" s="11" t="n">
        <v>4.37</v>
      </c>
      <c r="C8" s="0" t="n">
        <v>4.73333333333333</v>
      </c>
      <c r="D8" s="0"/>
      <c r="E8" s="0"/>
      <c r="F8" s="0"/>
      <c r="G8" s="0"/>
      <c r="H8" s="0"/>
      <c r="I8" s="11" t="n">
        <v>2.7</v>
      </c>
      <c r="J8" s="11"/>
      <c r="K8" s="11" t="n">
        <v>1.67</v>
      </c>
      <c r="L8" s="11" t="n">
        <f aca="false">1.18/3.28*B8</f>
        <v>1.57213414634146</v>
      </c>
      <c r="M8" s="11" t="n">
        <f aca="false">2.2/3.28*B8</f>
        <v>2.93109756097561</v>
      </c>
      <c r="N8" s="11" t="n">
        <f aca="false">2.88/3.28*B8</f>
        <v>3.83707317073171</v>
      </c>
      <c r="O8" s="11" t="n">
        <f aca="false">B8+I8-L8</f>
        <v>5.49786585365854</v>
      </c>
      <c r="P8" s="11" t="n">
        <f aca="false">B8+I8-M8</f>
        <v>4.13890243902439</v>
      </c>
      <c r="Q8" s="11" t="n">
        <f aca="false">B8+I8-N8</f>
        <v>3.23292682926829</v>
      </c>
      <c r="R8" s="2" t="n">
        <f aca="false">B8+I8</f>
        <v>7.07</v>
      </c>
    </row>
    <row r="9" customFormat="false" ht="12.8" hidden="false" customHeight="false" outlineLevel="0" collapsed="false">
      <c r="A9" s="10" t="n">
        <v>2</v>
      </c>
      <c r="B9" s="11" t="n">
        <v>6.4</v>
      </c>
      <c r="C9" s="0" t="n">
        <v>6.33333333333333</v>
      </c>
      <c r="D9" s="0"/>
      <c r="E9" s="0"/>
      <c r="F9" s="0"/>
      <c r="G9" s="0"/>
      <c r="H9" s="0"/>
      <c r="I9" s="11" t="n">
        <v>1.67</v>
      </c>
      <c r="J9" s="11"/>
      <c r="K9" s="11" t="n">
        <v>4.73</v>
      </c>
      <c r="L9" s="11" t="n">
        <f aca="false">1.18/3.28*B9</f>
        <v>2.30243902439024</v>
      </c>
      <c r="M9" s="11" t="n">
        <f aca="false">2.2/3.28*B9</f>
        <v>4.29268292682927</v>
      </c>
      <c r="N9" s="11" t="n">
        <f aca="false">2.88/3.28*B9</f>
        <v>5.61951219512195</v>
      </c>
      <c r="O9" s="11" t="n">
        <f aca="false">B9+I9-L9</f>
        <v>5.76756097560976</v>
      </c>
      <c r="P9" s="11" t="n">
        <f aca="false">B9+I9-M9</f>
        <v>3.77731707317073</v>
      </c>
      <c r="Q9" s="11" t="n">
        <f aca="false">B9+I9-N9</f>
        <v>2.45048780487805</v>
      </c>
      <c r="R9" s="2" t="n">
        <f aca="false">B9+I9</f>
        <v>8.07</v>
      </c>
    </row>
    <row r="10" customFormat="false" ht="12.8" hidden="false" customHeight="false" outlineLevel="0" collapsed="false">
      <c r="A10" s="10" t="n">
        <v>2</v>
      </c>
      <c r="B10" s="11" t="n">
        <v>6.4</v>
      </c>
      <c r="C10" s="0" t="n">
        <v>5.96666666666667</v>
      </c>
      <c r="D10" s="0"/>
      <c r="E10" s="0"/>
      <c r="F10" s="0"/>
      <c r="G10" s="0"/>
      <c r="H10" s="0"/>
      <c r="I10" s="11" t="n">
        <v>2.5</v>
      </c>
      <c r="J10" s="11"/>
      <c r="K10" s="11" t="n">
        <v>3.9</v>
      </c>
      <c r="L10" s="11" t="n">
        <f aca="false">1.18/3.28*B10</f>
        <v>2.30243902439024</v>
      </c>
      <c r="M10" s="11" t="n">
        <f aca="false">2.2/3.28*B10</f>
        <v>4.29268292682927</v>
      </c>
      <c r="N10" s="11" t="n">
        <f aca="false">2.88/3.28*B10</f>
        <v>5.61951219512195</v>
      </c>
      <c r="O10" s="11" t="n">
        <f aca="false">B10+I10-L10</f>
        <v>6.59756097560976</v>
      </c>
      <c r="P10" s="11" t="n">
        <f aca="false">B10+I10-M10</f>
        <v>4.60731707317073</v>
      </c>
      <c r="Q10" s="11" t="n">
        <f aca="false">B10+I10-N10</f>
        <v>3.28048780487805</v>
      </c>
      <c r="R10" s="2" t="n">
        <f aca="false">B10+I10</f>
        <v>8.9</v>
      </c>
    </row>
    <row r="11" customFormat="false" ht="12.8" hidden="false" customHeight="false" outlineLevel="0" collapsed="false">
      <c r="A11" s="10" t="n">
        <v>2</v>
      </c>
      <c r="B11" s="11" t="n">
        <v>4.87</v>
      </c>
      <c r="C11" s="0" t="n">
        <v>5.36666666666667</v>
      </c>
      <c r="D11" s="0"/>
      <c r="E11" s="0"/>
      <c r="F11" s="0"/>
      <c r="G11" s="0"/>
      <c r="H11" s="0"/>
      <c r="I11" s="11" t="n">
        <v>1.83</v>
      </c>
      <c r="J11" s="11"/>
      <c r="K11" s="11" t="n">
        <v>3.04</v>
      </c>
      <c r="L11" s="11" t="n">
        <f aca="false">1.18/3.28*B11</f>
        <v>1.75201219512195</v>
      </c>
      <c r="M11" s="11" t="n">
        <f aca="false">2.2/3.28*B11</f>
        <v>3.26646341463415</v>
      </c>
      <c r="N11" s="11" t="n">
        <f aca="false">2.88/3.28*B11</f>
        <v>4.27609756097561</v>
      </c>
      <c r="O11" s="11" t="n">
        <f aca="false">B11+I11-L11</f>
        <v>4.94798780487805</v>
      </c>
      <c r="P11" s="11" t="n">
        <f aca="false">B11+I11-M11</f>
        <v>3.43353658536585</v>
      </c>
      <c r="Q11" s="11" t="n">
        <f aca="false">B11+I11-N11</f>
        <v>2.42390243902439</v>
      </c>
      <c r="R11" s="2" t="n">
        <f aca="false">B11+I11</f>
        <v>6.7</v>
      </c>
    </row>
    <row r="12" customFormat="false" ht="12.8" hidden="false" customHeight="false" outlineLevel="0" collapsed="false">
      <c r="A12" s="10" t="n">
        <v>2</v>
      </c>
      <c r="B12" s="11" t="n">
        <v>7.93</v>
      </c>
      <c r="C12" s="0" t="n">
        <v>7.03333333333333</v>
      </c>
      <c r="D12" s="0"/>
      <c r="E12" s="0"/>
      <c r="F12" s="0"/>
      <c r="G12" s="0"/>
      <c r="H12" s="0"/>
      <c r="I12" s="11" t="n">
        <v>2.4</v>
      </c>
      <c r="J12" s="11"/>
      <c r="K12" s="11" t="n">
        <v>5.53</v>
      </c>
      <c r="L12" s="11" t="n">
        <f aca="false">1.18/3.28*B12</f>
        <v>2.85286585365854</v>
      </c>
      <c r="M12" s="11" t="n">
        <f aca="false">2.2/3.28*B12</f>
        <v>5.31890243902439</v>
      </c>
      <c r="N12" s="11" t="n">
        <f aca="false">2.88/3.28*B12</f>
        <v>6.96292682926829</v>
      </c>
      <c r="O12" s="11" t="n">
        <f aca="false">B12+I12-L12</f>
        <v>7.47713414634146</v>
      </c>
      <c r="P12" s="11" t="n">
        <f aca="false">B12+I12-M12</f>
        <v>5.01109756097561</v>
      </c>
      <c r="Q12" s="11" t="n">
        <f aca="false">B12+I12-N12</f>
        <v>3.36707317073171</v>
      </c>
      <c r="R12" s="2" t="n">
        <f aca="false">B12+I12</f>
        <v>10.33</v>
      </c>
    </row>
    <row r="13" customFormat="false" ht="12.8" hidden="false" customHeight="false" outlineLevel="0" collapsed="false">
      <c r="A13" s="10" t="n">
        <v>2</v>
      </c>
      <c r="B13" s="11" t="n">
        <v>6.6</v>
      </c>
      <c r="C13" s="0" t="n">
        <v>6.7</v>
      </c>
      <c r="D13" s="0"/>
      <c r="E13" s="0"/>
      <c r="F13" s="0"/>
      <c r="G13" s="0"/>
      <c r="H13" s="0"/>
      <c r="I13" s="11" t="n">
        <v>2.57</v>
      </c>
      <c r="J13" s="11"/>
      <c r="K13" s="11" t="n">
        <v>4.03</v>
      </c>
      <c r="L13" s="11" t="n">
        <f aca="false">1.18/3.28*B13</f>
        <v>2.37439024390244</v>
      </c>
      <c r="M13" s="11" t="n">
        <f aca="false">2.2/3.28*B13</f>
        <v>4.42682926829268</v>
      </c>
      <c r="N13" s="11" t="n">
        <f aca="false">2.88/3.28*B13</f>
        <v>5.79512195121951</v>
      </c>
      <c r="O13" s="11" t="n">
        <f aca="false">B13+I13-L13</f>
        <v>6.79560975609756</v>
      </c>
      <c r="P13" s="11" t="n">
        <f aca="false">B13+I13-M13</f>
        <v>4.74317073170732</v>
      </c>
      <c r="Q13" s="11" t="n">
        <f aca="false">B13+I13-N13</f>
        <v>3.37487804878049</v>
      </c>
      <c r="R13" s="2" t="n">
        <f aca="false">B13+I13</f>
        <v>9.17</v>
      </c>
    </row>
    <row r="14" customFormat="false" ht="12.8" hidden="false" customHeight="false" outlineLevel="0" collapsed="false">
      <c r="A14" s="10" t="n">
        <v>2</v>
      </c>
      <c r="B14" s="11" t="n">
        <v>6.7</v>
      </c>
      <c r="C14" s="0" t="n">
        <v>6.86666666666667</v>
      </c>
      <c r="D14" s="0"/>
      <c r="E14" s="0"/>
      <c r="F14" s="0"/>
      <c r="G14" s="0"/>
      <c r="H14" s="0"/>
      <c r="I14" s="11" t="n">
        <v>2.5</v>
      </c>
      <c r="J14" s="11"/>
      <c r="K14" s="11" t="n">
        <v>4.2</v>
      </c>
      <c r="L14" s="11" t="n">
        <f aca="false">1.18/3.28*B14</f>
        <v>2.41036585365854</v>
      </c>
      <c r="M14" s="11" t="n">
        <f aca="false">2.2/3.28*B14</f>
        <v>4.49390243902439</v>
      </c>
      <c r="N14" s="11" t="n">
        <f aca="false">2.88/3.28*B14</f>
        <v>5.88292682926829</v>
      </c>
      <c r="O14" s="11" t="n">
        <f aca="false">B14+I14-L14</f>
        <v>6.78963414634146</v>
      </c>
      <c r="P14" s="11" t="n">
        <f aca="false">B14+I14-M14</f>
        <v>4.70609756097561</v>
      </c>
      <c r="Q14" s="11" t="n">
        <f aca="false">B14+I14-N14</f>
        <v>3.31707317073171</v>
      </c>
      <c r="R14" s="2" t="n">
        <f aca="false">B14+I14</f>
        <v>9.2</v>
      </c>
    </row>
    <row r="15" customFormat="false" ht="12.8" hidden="false" customHeight="false" outlineLevel="0" collapsed="false">
      <c r="A15" s="10" t="n">
        <v>2</v>
      </c>
      <c r="B15" s="11" t="n">
        <v>3.47</v>
      </c>
      <c r="C15" s="0" t="n">
        <v>3.66666666666667</v>
      </c>
      <c r="D15" s="0"/>
      <c r="E15" s="0"/>
      <c r="F15" s="0"/>
      <c r="G15" s="0"/>
      <c r="H15" s="0"/>
      <c r="I15" s="11" t="n">
        <v>2.2</v>
      </c>
      <c r="J15" s="11"/>
      <c r="K15" s="11" t="n">
        <v>1.27</v>
      </c>
      <c r="L15" s="11" t="n">
        <f aca="false">1.18/3.28*B15</f>
        <v>1.24835365853659</v>
      </c>
      <c r="M15" s="11" t="n">
        <f aca="false">2.2/3.28*B15</f>
        <v>2.32743902439024</v>
      </c>
      <c r="N15" s="11" t="n">
        <f aca="false">2.88/3.28*B15</f>
        <v>3.04682926829268</v>
      </c>
      <c r="O15" s="11" t="n">
        <f aca="false">B15+I15-L15</f>
        <v>4.42164634146342</v>
      </c>
      <c r="P15" s="11" t="n">
        <f aca="false">B15+I15-M15</f>
        <v>3.34256097560976</v>
      </c>
      <c r="Q15" s="11" t="n">
        <f aca="false">B15+I15-N15</f>
        <v>2.62317073170732</v>
      </c>
      <c r="R15" s="2" t="n">
        <f aca="false">B15+I15</f>
        <v>5.67</v>
      </c>
    </row>
    <row r="16" customFormat="false" ht="12.8" hidden="false" customHeight="false" outlineLevel="0" collapsed="false">
      <c r="A16" s="10" t="n">
        <v>2</v>
      </c>
      <c r="B16" s="11" t="n">
        <v>6.67</v>
      </c>
      <c r="C16" s="0" t="n">
        <v>6.66666666666667</v>
      </c>
      <c r="D16" s="0"/>
      <c r="E16" s="0"/>
      <c r="F16" s="0"/>
      <c r="G16" s="0"/>
      <c r="H16" s="0"/>
      <c r="I16" s="11" t="n">
        <v>2.07</v>
      </c>
      <c r="J16" s="11"/>
      <c r="K16" s="11" t="n">
        <v>4.6</v>
      </c>
      <c r="L16" s="11" t="n">
        <f aca="false">1.18/3.28*B16</f>
        <v>2.39957317073171</v>
      </c>
      <c r="M16" s="11" t="n">
        <f aca="false">2.2/3.28*B16</f>
        <v>4.47378048780488</v>
      </c>
      <c r="N16" s="11" t="n">
        <f aca="false">2.88/3.28*B16</f>
        <v>5.85658536585366</v>
      </c>
      <c r="O16" s="11" t="n">
        <f aca="false">B16+I16-L16</f>
        <v>6.34042682926829</v>
      </c>
      <c r="P16" s="11" t="n">
        <f aca="false">B16+I16-M16</f>
        <v>4.26621951219512</v>
      </c>
      <c r="Q16" s="11" t="n">
        <f aca="false">B16+I16-N16</f>
        <v>2.88341463414634</v>
      </c>
      <c r="R16" s="2" t="n">
        <f aca="false">B16+I16</f>
        <v>8.74</v>
      </c>
    </row>
    <row r="17" customFormat="false" ht="12.8" hidden="false" customHeight="false" outlineLevel="0" collapsed="false">
      <c r="A17" s="10" t="n">
        <v>2</v>
      </c>
      <c r="B17" s="11" t="n">
        <v>6.37</v>
      </c>
      <c r="C17" s="0" t="n">
        <v>6.36666666666667</v>
      </c>
      <c r="D17" s="0"/>
      <c r="E17" s="0"/>
      <c r="F17" s="0"/>
      <c r="G17" s="0"/>
      <c r="H17" s="0"/>
      <c r="I17" s="11" t="n">
        <v>2.13</v>
      </c>
      <c r="J17" s="11"/>
      <c r="K17" s="11" t="n">
        <v>4.24</v>
      </c>
      <c r="L17" s="11" t="n">
        <f aca="false">1.18/3.28*B17</f>
        <v>2.29164634146341</v>
      </c>
      <c r="M17" s="11" t="n">
        <f aca="false">2.2/3.28*B17</f>
        <v>4.27256097560976</v>
      </c>
      <c r="N17" s="11" t="n">
        <f aca="false">2.88/3.28*B17</f>
        <v>5.59317073170732</v>
      </c>
      <c r="O17" s="11" t="n">
        <f aca="false">B17+I17-L17</f>
        <v>6.20835365853659</v>
      </c>
      <c r="P17" s="11" t="n">
        <f aca="false">B17+I17-M17</f>
        <v>4.22743902439024</v>
      </c>
      <c r="Q17" s="11" t="n">
        <f aca="false">B17+I17-N17</f>
        <v>2.90682926829268</v>
      </c>
      <c r="R17" s="2" t="n">
        <f aca="false">B17+I17</f>
        <v>8.5</v>
      </c>
    </row>
    <row r="18" customFormat="false" ht="12.8" hidden="false" customHeight="false" outlineLevel="0" collapsed="false">
      <c r="A18" s="10" t="n">
        <v>3</v>
      </c>
      <c r="B18" s="11" t="n">
        <v>4.5</v>
      </c>
      <c r="C18" s="0"/>
      <c r="D18" s="0"/>
      <c r="E18" s="0"/>
      <c r="F18" s="0"/>
      <c r="G18" s="0"/>
      <c r="H18" s="0"/>
      <c r="I18" s="11" t="n">
        <v>2.1</v>
      </c>
      <c r="J18" s="11"/>
      <c r="K18" s="11" t="n">
        <v>2.4</v>
      </c>
      <c r="L18" s="11" t="n">
        <f aca="false">1.18/3.28*B18</f>
        <v>1.61890243902439</v>
      </c>
      <c r="M18" s="11" t="n">
        <f aca="false">2.2/3.28*B18</f>
        <v>3.01829268292683</v>
      </c>
      <c r="N18" s="11" t="n">
        <f aca="false">2.88/3.28*B18</f>
        <v>3.95121951219512</v>
      </c>
      <c r="O18" s="11" t="n">
        <f aca="false">B18+I18-L18</f>
        <v>4.98109756097561</v>
      </c>
      <c r="P18" s="11" t="n">
        <f aca="false">B18+I18-M18</f>
        <v>3.58170731707317</v>
      </c>
      <c r="Q18" s="11" t="n">
        <f aca="false">B18+I18-N18</f>
        <v>2.64878048780488</v>
      </c>
      <c r="R18" s="2" t="n">
        <f aca="false">B18+I18</f>
        <v>6.6</v>
      </c>
    </row>
    <row r="19" customFormat="false" ht="12.8" hidden="false" customHeight="false" outlineLevel="0" collapsed="false">
      <c r="A19" s="10" t="n">
        <v>3</v>
      </c>
      <c r="B19" s="11" t="n">
        <v>4.97</v>
      </c>
      <c r="C19" s="0"/>
      <c r="D19" s="0"/>
      <c r="E19" s="0"/>
      <c r="F19" s="0"/>
      <c r="G19" s="0"/>
      <c r="H19" s="0"/>
      <c r="I19" s="11" t="n">
        <v>2.97</v>
      </c>
      <c r="J19" s="11"/>
      <c r="K19" s="11" t="n">
        <v>2</v>
      </c>
      <c r="L19" s="11" t="n">
        <f aca="false">1.18/3.28*B19</f>
        <v>1.78798780487805</v>
      </c>
      <c r="M19" s="11" t="n">
        <f aca="false">2.2/3.28*B19</f>
        <v>3.33353658536585</v>
      </c>
      <c r="N19" s="11" t="n">
        <f aca="false">2.88/3.28*B19</f>
        <v>4.36390243902439</v>
      </c>
      <c r="O19" s="11" t="n">
        <f aca="false">B19+I19-L19</f>
        <v>6.15201219512195</v>
      </c>
      <c r="P19" s="11" t="n">
        <f aca="false">B19+I19-M19</f>
        <v>4.60646341463415</v>
      </c>
      <c r="Q19" s="11" t="n">
        <f aca="false">B19+I19-N19</f>
        <v>3.57609756097561</v>
      </c>
      <c r="R19" s="2" t="n">
        <f aca="false">B19+I19</f>
        <v>7.94</v>
      </c>
    </row>
    <row r="20" customFormat="false" ht="12.8" hidden="false" customHeight="false" outlineLevel="0" collapsed="false">
      <c r="A20" s="10" t="n">
        <v>3</v>
      </c>
      <c r="B20" s="11" t="n">
        <v>6.27</v>
      </c>
      <c r="C20" s="0"/>
      <c r="D20" s="0"/>
      <c r="E20" s="0"/>
      <c r="F20" s="0"/>
      <c r="G20" s="0"/>
      <c r="H20" s="0"/>
      <c r="I20" s="11" t="n">
        <v>3.33</v>
      </c>
      <c r="J20" s="11"/>
      <c r="K20" s="11" t="n">
        <v>2.94</v>
      </c>
      <c r="L20" s="11" t="n">
        <f aca="false">1.18/3.28*B20</f>
        <v>2.25567073170732</v>
      </c>
      <c r="M20" s="11" t="n">
        <f aca="false">2.2/3.28*B20</f>
        <v>4.20548780487805</v>
      </c>
      <c r="N20" s="11" t="n">
        <f aca="false">2.88/3.28*B20</f>
        <v>5.50536585365854</v>
      </c>
      <c r="O20" s="11" t="n">
        <f aca="false">B20+I20-L20</f>
        <v>7.34432926829268</v>
      </c>
      <c r="P20" s="11" t="n">
        <f aca="false">B20+I20-M20</f>
        <v>5.39451219512195</v>
      </c>
      <c r="Q20" s="11" t="n">
        <f aca="false">B20+I20-N20</f>
        <v>4.09463414634146</v>
      </c>
      <c r="R20" s="2" t="n">
        <f aca="false">B20+I20</f>
        <v>9.6</v>
      </c>
    </row>
    <row r="21" customFormat="false" ht="12.8" hidden="false" customHeight="false" outlineLevel="0" collapsed="false">
      <c r="A21" s="10" t="n">
        <v>3</v>
      </c>
      <c r="B21" s="11" t="n">
        <v>5.17</v>
      </c>
      <c r="C21" s="0"/>
      <c r="D21" s="0"/>
      <c r="E21" s="0"/>
      <c r="F21" s="0"/>
      <c r="G21" s="0"/>
      <c r="H21" s="0"/>
      <c r="I21" s="11" t="n">
        <v>3.8</v>
      </c>
      <c r="J21" s="11"/>
      <c r="K21" s="11" t="n">
        <v>1.37</v>
      </c>
      <c r="L21" s="11" t="n">
        <f aca="false">1.18/3.28*B21</f>
        <v>1.85993902439024</v>
      </c>
      <c r="M21" s="11" t="n">
        <f aca="false">2.2/3.28*B21</f>
        <v>3.46768292682927</v>
      </c>
      <c r="N21" s="11" t="n">
        <f aca="false">2.88/3.28*B21</f>
        <v>4.53951219512195</v>
      </c>
      <c r="O21" s="11" t="n">
        <f aca="false">B21+I21-L21</f>
        <v>7.11006097560976</v>
      </c>
      <c r="P21" s="11" t="n">
        <f aca="false">B21+I21-M21</f>
        <v>5.50231707317073</v>
      </c>
      <c r="Q21" s="11" t="n">
        <f aca="false">B21+I21-N21</f>
        <v>4.43048780487805</v>
      </c>
      <c r="R21" s="2" t="n">
        <f aca="false">B21+I21</f>
        <v>8.97</v>
      </c>
    </row>
    <row r="22" customFormat="false" ht="12.8" hidden="false" customHeight="false" outlineLevel="0" collapsed="false">
      <c r="A22" s="10" t="n">
        <v>3</v>
      </c>
      <c r="B22" s="11" t="n">
        <v>5.13</v>
      </c>
      <c r="C22" s="0"/>
      <c r="D22" s="0"/>
      <c r="E22" s="0"/>
      <c r="F22" s="0"/>
      <c r="G22" s="0"/>
      <c r="H22" s="0"/>
      <c r="I22" s="11" t="n">
        <v>1.67</v>
      </c>
      <c r="J22" s="11"/>
      <c r="K22" s="11" t="n">
        <v>3.46</v>
      </c>
      <c r="L22" s="11" t="n">
        <f aca="false">1.18/3.28*B22</f>
        <v>1.8455487804878</v>
      </c>
      <c r="M22" s="11" t="n">
        <f aca="false">2.2/3.28*B22</f>
        <v>3.44085365853659</v>
      </c>
      <c r="N22" s="11" t="n">
        <f aca="false">2.88/3.28*B22</f>
        <v>4.50439024390244</v>
      </c>
      <c r="O22" s="11" t="n">
        <f aca="false">B22+I22-L22</f>
        <v>4.9544512195122</v>
      </c>
      <c r="P22" s="11" t="n">
        <f aca="false">B22+I22-M22</f>
        <v>3.35914634146341</v>
      </c>
      <c r="Q22" s="11" t="n">
        <f aca="false">B22+I22-N22</f>
        <v>2.29560975609756</v>
      </c>
      <c r="R22" s="2" t="n">
        <f aca="false">B22+I22</f>
        <v>6.8</v>
      </c>
    </row>
    <row r="23" customFormat="false" ht="12.8" hidden="false" customHeight="false" outlineLevel="0" collapsed="false">
      <c r="A23" s="10" t="n">
        <v>3</v>
      </c>
      <c r="B23" s="11" t="n">
        <v>6.8</v>
      </c>
      <c r="C23" s="0"/>
      <c r="D23" s="0"/>
      <c r="E23" s="0"/>
      <c r="F23" s="0"/>
      <c r="G23" s="0"/>
      <c r="H23" s="0"/>
      <c r="I23" s="11" t="n">
        <v>2.8</v>
      </c>
      <c r="J23" s="11"/>
      <c r="K23" s="11" t="n">
        <v>4</v>
      </c>
      <c r="L23" s="11" t="n">
        <f aca="false">1.18/3.28*B23</f>
        <v>2.44634146341463</v>
      </c>
      <c r="M23" s="11" t="n">
        <f aca="false">2.2/3.28*B23</f>
        <v>4.5609756097561</v>
      </c>
      <c r="N23" s="11" t="n">
        <f aca="false">2.88/3.28*B23</f>
        <v>5.97073170731707</v>
      </c>
      <c r="O23" s="11" t="n">
        <f aca="false">B23+I23-L23</f>
        <v>7.15365853658537</v>
      </c>
      <c r="P23" s="11" t="n">
        <f aca="false">B23+I23-M23</f>
        <v>5.0390243902439</v>
      </c>
      <c r="Q23" s="11" t="n">
        <f aca="false">B23+I23-N23</f>
        <v>3.62926829268293</v>
      </c>
      <c r="R23" s="2" t="n">
        <f aca="false">B23+I23</f>
        <v>9.6</v>
      </c>
    </row>
    <row r="24" customFormat="false" ht="12.8" hidden="false" customHeight="false" outlineLevel="0" collapsed="false">
      <c r="A24" s="10" t="n">
        <v>3</v>
      </c>
      <c r="B24" s="11" t="n">
        <v>8.37</v>
      </c>
      <c r="C24" s="0"/>
      <c r="D24" s="0"/>
      <c r="E24" s="0"/>
      <c r="F24" s="0"/>
      <c r="G24" s="0"/>
      <c r="H24" s="0"/>
      <c r="I24" s="11" t="n">
        <v>3.63</v>
      </c>
      <c r="J24" s="11"/>
      <c r="K24" s="11" t="n">
        <v>4.74</v>
      </c>
      <c r="L24" s="11" t="n">
        <f aca="false">1.18/3.28*B24</f>
        <v>3.01115853658537</v>
      </c>
      <c r="M24" s="11" t="n">
        <f aca="false">2.2/3.28*B24</f>
        <v>5.6140243902439</v>
      </c>
      <c r="N24" s="11" t="n">
        <f aca="false">2.88/3.28*B24</f>
        <v>7.34926829268293</v>
      </c>
      <c r="O24" s="11" t="n">
        <f aca="false">B24+I24-L24</f>
        <v>8.98884146341463</v>
      </c>
      <c r="P24" s="11" t="n">
        <f aca="false">B24+I24-M24</f>
        <v>6.3859756097561</v>
      </c>
      <c r="Q24" s="11" t="n">
        <f aca="false">B24+I24-N24</f>
        <v>4.65073170731707</v>
      </c>
      <c r="R24" s="2" t="n">
        <f aca="false">B24+I24</f>
        <v>12</v>
      </c>
    </row>
    <row r="25" customFormat="false" ht="12.8" hidden="false" customHeight="false" outlineLevel="0" collapsed="false">
      <c r="A25" s="10" t="n">
        <v>3</v>
      </c>
      <c r="B25" s="11" t="n">
        <v>3.83</v>
      </c>
      <c r="C25" s="0"/>
      <c r="D25" s="0"/>
      <c r="E25" s="0"/>
      <c r="F25" s="0"/>
      <c r="G25" s="0"/>
      <c r="H25" s="0"/>
      <c r="I25" s="11" t="n">
        <v>2.53</v>
      </c>
      <c r="J25" s="11"/>
      <c r="K25" s="11" t="n">
        <v>1.3</v>
      </c>
      <c r="L25" s="11" t="n">
        <f aca="false">1.18/3.28*B25</f>
        <v>1.37786585365854</v>
      </c>
      <c r="M25" s="11" t="n">
        <f aca="false">2.2/3.28*B25</f>
        <v>2.56890243902439</v>
      </c>
      <c r="N25" s="11" t="n">
        <f aca="false">2.88/3.28*B25</f>
        <v>3.36292682926829</v>
      </c>
      <c r="O25" s="11" t="n">
        <f aca="false">B25+I25-L25</f>
        <v>4.98213414634146</v>
      </c>
      <c r="P25" s="11" t="n">
        <f aca="false">B25+I25-M25</f>
        <v>3.79109756097561</v>
      </c>
      <c r="Q25" s="11" t="n">
        <f aca="false">B25+I25-N25</f>
        <v>2.99707317073171</v>
      </c>
      <c r="R25" s="2" t="n">
        <f aca="false">B25+I25</f>
        <v>6.36</v>
      </c>
    </row>
    <row r="26" customFormat="false" ht="12.8" hidden="false" customHeight="false" outlineLevel="0" collapsed="false">
      <c r="A26" s="10" t="n">
        <v>3</v>
      </c>
      <c r="B26" s="11" t="n">
        <v>6.43</v>
      </c>
      <c r="C26" s="0"/>
      <c r="D26" s="0"/>
      <c r="E26" s="0"/>
      <c r="F26" s="0"/>
      <c r="G26" s="0"/>
      <c r="H26" s="0"/>
      <c r="I26" s="11" t="n">
        <v>2.2</v>
      </c>
      <c r="J26" s="11"/>
      <c r="K26" s="11" t="n">
        <v>4.23</v>
      </c>
      <c r="L26" s="11" t="n">
        <f aca="false">1.18/3.28*B26</f>
        <v>2.31323170731707</v>
      </c>
      <c r="M26" s="11" t="n">
        <f aca="false">2.2/3.28*B26</f>
        <v>4.31280487804878</v>
      </c>
      <c r="N26" s="11" t="n">
        <f aca="false">2.88/3.28*B26</f>
        <v>5.64585365853659</v>
      </c>
      <c r="O26" s="11" t="n">
        <f aca="false">B26+I26-L26</f>
        <v>6.31676829268293</v>
      </c>
      <c r="P26" s="11" t="n">
        <f aca="false">B26+I26-M26</f>
        <v>4.31719512195122</v>
      </c>
      <c r="Q26" s="11" t="n">
        <f aca="false">B26+I26-N26</f>
        <v>2.98414634146341</v>
      </c>
      <c r="R26" s="2" t="n">
        <f aca="false">B26+I26</f>
        <v>8.63</v>
      </c>
    </row>
    <row r="27" customFormat="false" ht="12.8" hidden="false" customHeight="false" outlineLevel="0" collapsed="false">
      <c r="A27" s="10" t="n">
        <v>4</v>
      </c>
      <c r="B27" s="11" t="n">
        <f aca="false">(all_D_passengers_70!E33-all_D_passengers_70!D33)/30</f>
        <v>3</v>
      </c>
      <c r="C27" s="0"/>
      <c r="D27" s="0"/>
      <c r="E27" s="0"/>
      <c r="F27" s="0"/>
      <c r="G27" s="0"/>
      <c r="H27" s="0"/>
      <c r="I27" s="11" t="n">
        <f aca="false">(all_D_passengers_70!F33-all_D_passengers_70!E33)/30</f>
        <v>1.83333333333333</v>
      </c>
      <c r="J27" s="11"/>
      <c r="K27" s="11" t="n">
        <v>1.26</v>
      </c>
      <c r="L27" s="11" t="n">
        <f aca="false">1.18/3.28*B27</f>
        <v>1.07926829268293</v>
      </c>
      <c r="M27" s="11" t="n">
        <f aca="false">2.2/3.28*B27</f>
        <v>2.01219512195122</v>
      </c>
      <c r="N27" s="11" t="n">
        <f aca="false">2.88/3.28*B27</f>
        <v>2.63414634146341</v>
      </c>
      <c r="O27" s="11" t="n">
        <f aca="false">B27+I27-L27</f>
        <v>3.75406504065041</v>
      </c>
      <c r="P27" s="11" t="n">
        <f aca="false">B27+I27-M27</f>
        <v>2.82113821138211</v>
      </c>
      <c r="Q27" s="11" t="n">
        <f aca="false">B27+I27-N27</f>
        <v>2.19918699186992</v>
      </c>
      <c r="R27" s="2" t="n">
        <f aca="false">B27+I27</f>
        <v>4.83333333333333</v>
      </c>
    </row>
    <row r="28" customFormat="false" ht="12.8" hidden="false" customHeight="false" outlineLevel="0" collapsed="false">
      <c r="A28" s="10" t="n">
        <v>4</v>
      </c>
      <c r="B28" s="11" t="n">
        <v>3.77</v>
      </c>
      <c r="C28" s="0"/>
      <c r="D28" s="0"/>
      <c r="E28" s="0"/>
      <c r="F28" s="0"/>
      <c r="G28" s="0"/>
      <c r="H28" s="0"/>
      <c r="I28" s="11" t="n">
        <v>1.9</v>
      </c>
      <c r="J28" s="11"/>
      <c r="K28" s="11" t="n">
        <v>1.87</v>
      </c>
      <c r="L28" s="11" t="n">
        <f aca="false">1.18/3.28*B28</f>
        <v>1.35628048780488</v>
      </c>
      <c r="M28" s="11" t="n">
        <f aca="false">2.2/3.28*B28</f>
        <v>2.52865853658537</v>
      </c>
      <c r="N28" s="11" t="n">
        <f aca="false">2.88/3.28*B28</f>
        <v>3.31024390243902</v>
      </c>
      <c r="O28" s="11" t="n">
        <f aca="false">B28+I28-L28</f>
        <v>4.31371951219512</v>
      </c>
      <c r="P28" s="11" t="n">
        <f aca="false">B28+I28-M28</f>
        <v>3.14134146341463</v>
      </c>
      <c r="Q28" s="11" t="n">
        <f aca="false">B28+I28-N28</f>
        <v>2.35975609756098</v>
      </c>
      <c r="R28" s="2" t="n">
        <f aca="false">B28+I28</f>
        <v>5.67</v>
      </c>
    </row>
    <row r="29" customFormat="false" ht="12.8" hidden="false" customHeight="false" outlineLevel="0" collapsed="false">
      <c r="A29" s="10" t="n">
        <v>4</v>
      </c>
      <c r="B29" s="11" t="n">
        <v>7.67</v>
      </c>
      <c r="C29" s="0"/>
      <c r="D29" s="0"/>
      <c r="E29" s="0"/>
      <c r="F29" s="0"/>
      <c r="G29" s="0"/>
      <c r="H29" s="0"/>
      <c r="I29" s="11" t="n">
        <v>2.3</v>
      </c>
      <c r="J29" s="11"/>
      <c r="K29" s="11" t="n">
        <v>5.37</v>
      </c>
      <c r="L29" s="11" t="n">
        <f aca="false">1.18/3.28*B29</f>
        <v>2.75932926829268</v>
      </c>
      <c r="M29" s="11" t="n">
        <f aca="false">2.2/3.28*B29</f>
        <v>5.14451219512195</v>
      </c>
      <c r="N29" s="11" t="n">
        <f aca="false">2.88/3.28*B29</f>
        <v>6.73463414634146</v>
      </c>
      <c r="O29" s="11" t="n">
        <f aca="false">B29+I29-L29</f>
        <v>7.21067073170732</v>
      </c>
      <c r="P29" s="11" t="n">
        <f aca="false">B29+I29-M29</f>
        <v>4.82548780487805</v>
      </c>
      <c r="Q29" s="11" t="n">
        <f aca="false">B29+I29-N29</f>
        <v>3.23536585365854</v>
      </c>
      <c r="R29" s="2" t="n">
        <f aca="false">B29+I29</f>
        <v>9.97</v>
      </c>
    </row>
    <row r="30" customFormat="false" ht="12.8" hidden="false" customHeight="false" outlineLevel="0" collapsed="false">
      <c r="A30" s="10" t="n">
        <v>4</v>
      </c>
      <c r="B30" s="11" t="n">
        <v>7.6</v>
      </c>
      <c r="C30" s="0"/>
      <c r="D30" s="0"/>
      <c r="E30" s="0"/>
      <c r="F30" s="0"/>
      <c r="G30" s="0"/>
      <c r="H30" s="0"/>
      <c r="I30" s="11" t="n">
        <v>2.53</v>
      </c>
      <c r="J30" s="11"/>
      <c r="K30" s="11" t="n">
        <v>5.07</v>
      </c>
      <c r="L30" s="11" t="n">
        <f aca="false">1.18/3.28*B30</f>
        <v>2.73414634146341</v>
      </c>
      <c r="M30" s="11" t="n">
        <f aca="false">2.2/3.28*B30</f>
        <v>5.09756097560976</v>
      </c>
      <c r="N30" s="11" t="n">
        <f aca="false">2.88/3.28*B30</f>
        <v>6.67317073170732</v>
      </c>
      <c r="O30" s="11" t="n">
        <f aca="false">B30+I30-L30</f>
        <v>7.39585365853658</v>
      </c>
      <c r="P30" s="11" t="n">
        <f aca="false">B30+I30-M30</f>
        <v>5.03243902439024</v>
      </c>
      <c r="Q30" s="11" t="n">
        <f aca="false">B30+I30-N30</f>
        <v>3.45682926829268</v>
      </c>
      <c r="R30" s="2" t="n">
        <f aca="false">B30+I30</f>
        <v>10.13</v>
      </c>
    </row>
    <row r="31" customFormat="false" ht="12.8" hidden="false" customHeight="false" outlineLevel="0" collapsed="false">
      <c r="A31" s="10" t="n">
        <v>4</v>
      </c>
      <c r="B31" s="11" t="n">
        <v>7.2</v>
      </c>
      <c r="C31" s="0"/>
      <c r="D31" s="0"/>
      <c r="E31" s="0"/>
      <c r="F31" s="0"/>
      <c r="G31" s="0"/>
      <c r="H31" s="0"/>
      <c r="I31" s="11" t="n">
        <v>2.53</v>
      </c>
      <c r="J31" s="11"/>
      <c r="K31" s="11" t="n">
        <v>4.67</v>
      </c>
      <c r="L31" s="11" t="n">
        <f aca="false">1.18/3.28*B31</f>
        <v>2.59024390243902</v>
      </c>
      <c r="M31" s="11" t="n">
        <f aca="false">2.2/3.28*B31</f>
        <v>4.82926829268293</v>
      </c>
      <c r="N31" s="11" t="n">
        <f aca="false">2.88/3.28*B31</f>
        <v>6.3219512195122</v>
      </c>
      <c r="O31" s="11" t="n">
        <f aca="false">B31+I31-L31</f>
        <v>7.13975609756098</v>
      </c>
      <c r="P31" s="11" t="n">
        <f aca="false">B31+I31-M31</f>
        <v>4.90073170731707</v>
      </c>
      <c r="Q31" s="11" t="n">
        <f aca="false">B31+I31-N31</f>
        <v>3.40804878048781</v>
      </c>
      <c r="R31" s="2" t="n">
        <f aca="false">B31+I31</f>
        <v>9.73</v>
      </c>
    </row>
    <row r="32" customFormat="false" ht="12.8" hidden="false" customHeight="false" outlineLevel="0" collapsed="false">
      <c r="A32" s="10" t="n">
        <v>4</v>
      </c>
      <c r="B32" s="11" t="n">
        <v>11.73</v>
      </c>
      <c r="C32" s="0"/>
      <c r="D32" s="0"/>
      <c r="E32" s="0"/>
      <c r="F32" s="0"/>
      <c r="G32" s="0"/>
      <c r="H32" s="0"/>
      <c r="I32" s="11" t="n">
        <v>6.37</v>
      </c>
      <c r="J32" s="11"/>
      <c r="K32" s="11" t="n">
        <v>5.36</v>
      </c>
      <c r="L32" s="11" t="n">
        <f aca="false">1.18/3.28*B32</f>
        <v>4.21993902439024</v>
      </c>
      <c r="M32" s="11" t="n">
        <f aca="false">2.2/3.28*B32</f>
        <v>7.86768292682927</v>
      </c>
      <c r="N32" s="11" t="n">
        <f aca="false">2.88/3.28*B32</f>
        <v>10.299512195122</v>
      </c>
      <c r="O32" s="11" t="n">
        <f aca="false">B32+I32-L32</f>
        <v>13.8800609756098</v>
      </c>
      <c r="P32" s="11" t="n">
        <f aca="false">B32+I32-M32</f>
        <v>10.2323170731707</v>
      </c>
      <c r="Q32" s="11" t="n">
        <f aca="false">B32+I32-N32</f>
        <v>7.80048780487805</v>
      </c>
      <c r="R32" s="2" t="n">
        <f aca="false">B32+I32</f>
        <v>18.1</v>
      </c>
    </row>
    <row r="33" customFormat="false" ht="12.8" hidden="false" customHeight="false" outlineLevel="0" collapsed="false">
      <c r="A33" s="10" t="n">
        <v>4</v>
      </c>
      <c r="B33" s="11" t="n">
        <v>10.13</v>
      </c>
      <c r="C33" s="0"/>
      <c r="D33" s="0"/>
      <c r="E33" s="0"/>
      <c r="F33" s="0"/>
      <c r="G33" s="0"/>
      <c r="H33" s="0"/>
      <c r="I33" s="11" t="n">
        <v>4.17</v>
      </c>
      <c r="J33" s="11"/>
      <c r="K33" s="11" t="n">
        <v>5.96</v>
      </c>
      <c r="L33" s="11" t="n">
        <f aca="false">1.18/3.28*B33</f>
        <v>3.64432926829268</v>
      </c>
      <c r="M33" s="11" t="n">
        <f aca="false">2.2/3.28*B33</f>
        <v>6.79451219512195</v>
      </c>
      <c r="N33" s="11" t="n">
        <f aca="false">2.88/3.28*B33</f>
        <v>8.89463414634146</v>
      </c>
      <c r="O33" s="11" t="n">
        <f aca="false">B33+I33-L33</f>
        <v>10.6556707317073</v>
      </c>
      <c r="P33" s="11" t="n">
        <f aca="false">B33+I33-M33</f>
        <v>7.50548780487805</v>
      </c>
      <c r="Q33" s="11" t="n">
        <f aca="false">B33+I33-N33</f>
        <v>5.40536585365854</v>
      </c>
      <c r="R33" s="2" t="n">
        <f aca="false">B33+I33</f>
        <v>14.3</v>
      </c>
    </row>
    <row r="34" customFormat="false" ht="12.8" hidden="false" customHeight="false" outlineLevel="0" collapsed="false">
      <c r="A34" s="10" t="n">
        <v>4</v>
      </c>
      <c r="B34" s="11" t="n">
        <v>11.33</v>
      </c>
      <c r="C34" s="0"/>
      <c r="D34" s="0"/>
      <c r="E34" s="0"/>
      <c r="F34" s="0"/>
      <c r="G34" s="0"/>
      <c r="H34" s="0"/>
      <c r="I34" s="11" t="n">
        <v>2.9</v>
      </c>
      <c r="J34" s="11"/>
      <c r="K34" s="11" t="n">
        <v>8.43</v>
      </c>
      <c r="L34" s="11" t="n">
        <f aca="false">1.18/3.28*B34</f>
        <v>4.07603658536585</v>
      </c>
      <c r="M34" s="11" t="n">
        <f aca="false">2.2/3.28*B34</f>
        <v>7.59939024390244</v>
      </c>
      <c r="N34" s="11" t="n">
        <f aca="false">2.88/3.28*B34</f>
        <v>9.94829268292683</v>
      </c>
      <c r="O34" s="11" t="n">
        <f aca="false">B34+I34-L34</f>
        <v>10.1539634146341</v>
      </c>
      <c r="P34" s="11" t="n">
        <f aca="false">B34+I34-M34</f>
        <v>6.63060975609756</v>
      </c>
      <c r="Q34" s="11" t="n">
        <f aca="false">B34+I34-N34</f>
        <v>4.28170731707317</v>
      </c>
      <c r="R34" s="2" t="n">
        <f aca="false">B34+I34</f>
        <v>14.23</v>
      </c>
    </row>
    <row r="35" customFormat="false" ht="12.8" hidden="false" customHeight="false" outlineLevel="0" collapsed="false">
      <c r="A35" s="10" t="n">
        <v>4</v>
      </c>
      <c r="B35" s="11" t="n">
        <v>10.1</v>
      </c>
      <c r="C35" s="0"/>
      <c r="D35" s="0"/>
      <c r="E35" s="0"/>
      <c r="F35" s="0"/>
      <c r="G35" s="0"/>
      <c r="H35" s="0"/>
      <c r="I35" s="11" t="n">
        <v>2.77</v>
      </c>
      <c r="J35" s="11"/>
      <c r="K35" s="11" t="n">
        <v>7.33</v>
      </c>
      <c r="L35" s="11" t="n">
        <f aca="false">1.18/3.28*B35</f>
        <v>3.63353658536585</v>
      </c>
      <c r="M35" s="11" t="n">
        <f aca="false">2.2/3.28*B35</f>
        <v>6.77439024390244</v>
      </c>
      <c r="N35" s="11" t="n">
        <f aca="false">2.88/3.28*B35</f>
        <v>8.86829268292683</v>
      </c>
      <c r="O35" s="11" t="n">
        <f aca="false">B35+I35-L35</f>
        <v>9.23646341463415</v>
      </c>
      <c r="P35" s="11" t="n">
        <f aca="false">B35+I35-M35</f>
        <v>6.09560975609756</v>
      </c>
      <c r="Q35" s="11" t="n">
        <f aca="false">B35+I35-N35</f>
        <v>4.00170731707317</v>
      </c>
      <c r="R35" s="2" t="n">
        <f aca="false">B35+I35</f>
        <v>12.87</v>
      </c>
    </row>
    <row r="36" customFormat="false" ht="12.8" hidden="false" customHeight="false" outlineLevel="0" collapsed="false">
      <c r="A36" s="10" t="n">
        <v>4</v>
      </c>
      <c r="B36" s="11" t="n">
        <v>8.7</v>
      </c>
      <c r="C36" s="0"/>
      <c r="D36" s="0"/>
      <c r="E36" s="0"/>
      <c r="F36" s="0"/>
      <c r="G36" s="0"/>
      <c r="H36" s="0"/>
      <c r="I36" s="11" t="n">
        <v>2.17</v>
      </c>
      <c r="J36" s="11"/>
      <c r="K36" s="11" t="n">
        <v>6.53</v>
      </c>
      <c r="L36" s="11" t="n">
        <f aca="false">1.18/3.28*B36</f>
        <v>3.12987804878049</v>
      </c>
      <c r="M36" s="11" t="n">
        <f aca="false">2.2/3.28*B36</f>
        <v>5.83536585365854</v>
      </c>
      <c r="N36" s="11" t="n">
        <f aca="false">2.88/3.28*B36</f>
        <v>7.6390243902439</v>
      </c>
      <c r="O36" s="11" t="n">
        <f aca="false">B36+I36-L36</f>
        <v>7.74012195121951</v>
      </c>
      <c r="P36" s="11" t="n">
        <f aca="false">B36+I36-M36</f>
        <v>5.03463414634146</v>
      </c>
      <c r="Q36" s="11" t="n">
        <f aca="false">B36+I36-N36</f>
        <v>3.2309756097561</v>
      </c>
      <c r="R36" s="2" t="n">
        <f aca="false">B36+I36</f>
        <v>10.87</v>
      </c>
    </row>
    <row r="37" customFormat="false" ht="12.8" hidden="false" customHeight="false" outlineLevel="0" collapsed="false">
      <c r="A37" s="10" t="n">
        <v>4</v>
      </c>
      <c r="B37" s="11" t="n">
        <v>3.1</v>
      </c>
      <c r="C37" s="0"/>
      <c r="D37" s="0"/>
      <c r="E37" s="0"/>
      <c r="F37" s="0"/>
      <c r="G37" s="0"/>
      <c r="H37" s="0"/>
      <c r="I37" s="11" t="n">
        <v>1.8</v>
      </c>
      <c r="J37" s="11"/>
      <c r="K37" s="11" t="n">
        <v>1.3</v>
      </c>
      <c r="L37" s="11" t="n">
        <f aca="false">1.18/3.28*B37</f>
        <v>1.11524390243902</v>
      </c>
      <c r="M37" s="11" t="n">
        <f aca="false">2.2/3.28*B37</f>
        <v>2.07926829268293</v>
      </c>
      <c r="N37" s="11" t="n">
        <f aca="false">2.88/3.28*B37</f>
        <v>2.7219512195122</v>
      </c>
      <c r="O37" s="11" t="n">
        <f aca="false">B37+I37-L37</f>
        <v>3.78475609756098</v>
      </c>
      <c r="P37" s="11" t="n">
        <f aca="false">B37+I37-M37</f>
        <v>2.82073170731707</v>
      </c>
      <c r="Q37" s="11" t="n">
        <f aca="false">B37+I37-N37</f>
        <v>2.17804878048781</v>
      </c>
      <c r="R37" s="2" t="n">
        <f aca="false">B37+I37</f>
        <v>4.9</v>
      </c>
    </row>
    <row r="38" customFormat="false" ht="12.8" hidden="false" customHeight="false" outlineLevel="0" collapsed="false">
      <c r="A38" s="10" t="n">
        <v>4</v>
      </c>
      <c r="B38" s="11" t="n">
        <v>8.8</v>
      </c>
      <c r="C38" s="0"/>
      <c r="D38" s="0"/>
      <c r="E38" s="0"/>
      <c r="F38" s="0"/>
      <c r="G38" s="0"/>
      <c r="H38" s="0"/>
      <c r="I38" s="11" t="n">
        <v>4.6</v>
      </c>
      <c r="J38" s="11"/>
      <c r="K38" s="11" t="n">
        <v>4.2</v>
      </c>
      <c r="L38" s="11" t="n">
        <f aca="false">1.18/3.28*B38</f>
        <v>3.16585365853659</v>
      </c>
      <c r="M38" s="11" t="n">
        <f aca="false">2.2/3.28*B38</f>
        <v>5.90243902439025</v>
      </c>
      <c r="N38" s="11" t="n">
        <f aca="false">2.88/3.28*B38</f>
        <v>7.72682926829268</v>
      </c>
      <c r="O38" s="11" t="n">
        <f aca="false">B38+I38-L38</f>
        <v>10.2341463414634</v>
      </c>
      <c r="P38" s="11" t="n">
        <f aca="false">B38+I38-M38</f>
        <v>7.49756097560976</v>
      </c>
      <c r="Q38" s="11" t="n">
        <f aca="false">B38+I38-N38</f>
        <v>5.67317073170732</v>
      </c>
      <c r="R38" s="2" t="n">
        <f aca="false">B38+I38</f>
        <v>13.4</v>
      </c>
    </row>
    <row r="39" customFormat="false" ht="12.8" hidden="false" customHeight="false" outlineLevel="0" collapsed="false">
      <c r="A39" s="10" t="n">
        <v>4</v>
      </c>
      <c r="B39" s="11" t="n">
        <v>9</v>
      </c>
      <c r="C39" s="0"/>
      <c r="D39" s="0"/>
      <c r="E39" s="0"/>
      <c r="F39" s="0"/>
      <c r="G39" s="0"/>
      <c r="H39" s="0"/>
      <c r="I39" s="11" t="n">
        <v>2.6</v>
      </c>
      <c r="J39" s="11"/>
      <c r="K39" s="11" t="n">
        <v>6.4</v>
      </c>
      <c r="L39" s="11" t="n">
        <f aca="false">1.18/3.28*B39</f>
        <v>3.23780487804878</v>
      </c>
      <c r="M39" s="11" t="n">
        <f aca="false">2.2/3.28*B39</f>
        <v>6.03658536585366</v>
      </c>
      <c r="N39" s="11" t="n">
        <f aca="false">2.88/3.28*B39</f>
        <v>7.90243902439024</v>
      </c>
      <c r="O39" s="11" t="n">
        <f aca="false">B39+I39-L39</f>
        <v>8.36219512195122</v>
      </c>
      <c r="P39" s="11" t="n">
        <f aca="false">B39+I39-M39</f>
        <v>5.56341463414634</v>
      </c>
      <c r="Q39" s="11" t="n">
        <f aca="false">B39+I39-N39</f>
        <v>3.69756097560976</v>
      </c>
      <c r="R39" s="2" t="n">
        <f aca="false">B39+I39</f>
        <v>11.6</v>
      </c>
    </row>
    <row r="40" customFormat="false" ht="12.8" hidden="false" customHeight="false" outlineLevel="0" collapsed="false">
      <c r="A40" s="10" t="n">
        <v>4</v>
      </c>
      <c r="B40" s="11" t="n">
        <v>9</v>
      </c>
      <c r="C40" s="0"/>
      <c r="D40" s="0"/>
      <c r="E40" s="0"/>
      <c r="F40" s="0"/>
      <c r="G40" s="0"/>
      <c r="H40" s="0"/>
      <c r="I40" s="11" t="n">
        <v>2.87</v>
      </c>
      <c r="J40" s="11"/>
      <c r="K40" s="11" t="n">
        <v>6.13</v>
      </c>
      <c r="L40" s="11" t="n">
        <f aca="false">1.18/3.28*B40</f>
        <v>3.23780487804878</v>
      </c>
      <c r="M40" s="11" t="n">
        <f aca="false">2.2/3.28*B40</f>
        <v>6.03658536585366</v>
      </c>
      <c r="N40" s="11" t="n">
        <f aca="false">2.88/3.28*B40</f>
        <v>7.90243902439024</v>
      </c>
      <c r="O40" s="11" t="n">
        <f aca="false">B40+I40-L40</f>
        <v>8.63219512195122</v>
      </c>
      <c r="P40" s="11" t="n">
        <f aca="false">B40+I40-M40</f>
        <v>5.83341463414634</v>
      </c>
      <c r="Q40" s="11" t="n">
        <f aca="false">B40+I40-N40</f>
        <v>3.96756097560976</v>
      </c>
      <c r="R40" s="2" t="n">
        <f aca="false">B40+I40</f>
        <v>11.87</v>
      </c>
    </row>
    <row r="41" customFormat="false" ht="12.8" hidden="false" customHeight="false" outlineLevel="0" collapsed="false">
      <c r="A41" s="10" t="n">
        <v>4</v>
      </c>
      <c r="B41" s="11" t="n">
        <v>6.03</v>
      </c>
      <c r="C41" s="0"/>
      <c r="D41" s="0"/>
      <c r="E41" s="0"/>
      <c r="F41" s="0"/>
      <c r="G41" s="0"/>
      <c r="H41" s="0"/>
      <c r="I41" s="11" t="n">
        <v>1.97</v>
      </c>
      <c r="J41" s="11"/>
      <c r="K41" s="11" t="n">
        <v>4.06</v>
      </c>
      <c r="L41" s="11" t="n">
        <f aca="false">1.18/3.28*B41</f>
        <v>2.16932926829268</v>
      </c>
      <c r="M41" s="11" t="n">
        <f aca="false">2.2/3.28*B41</f>
        <v>4.04451219512195</v>
      </c>
      <c r="N41" s="11" t="n">
        <f aca="false">2.88/3.28*B41</f>
        <v>5.29463414634146</v>
      </c>
      <c r="O41" s="11" t="n">
        <f aca="false">B41+I41-L41</f>
        <v>5.83067073170732</v>
      </c>
      <c r="P41" s="11" t="n">
        <f aca="false">B41+I41-M41</f>
        <v>3.95548780487805</v>
      </c>
      <c r="Q41" s="11" t="n">
        <f aca="false">B41+I41-N41</f>
        <v>2.70536585365854</v>
      </c>
      <c r="R41" s="2" t="n">
        <f aca="false">B41+I41</f>
        <v>8</v>
      </c>
    </row>
    <row r="42" customFormat="false" ht="12.8" hidden="false" customHeight="false" outlineLevel="0" collapsed="false">
      <c r="A42" s="10" t="n">
        <v>4</v>
      </c>
      <c r="B42" s="11" t="n">
        <v>6.67</v>
      </c>
      <c r="C42" s="0"/>
      <c r="D42" s="0"/>
      <c r="E42" s="0"/>
      <c r="F42" s="0"/>
      <c r="G42" s="0"/>
      <c r="H42" s="0"/>
      <c r="I42" s="11" t="n">
        <v>2.4</v>
      </c>
      <c r="J42" s="11"/>
      <c r="K42" s="11" t="n">
        <v>4.27</v>
      </c>
      <c r="L42" s="11" t="n">
        <f aca="false">1.18/3.28*B42</f>
        <v>2.39957317073171</v>
      </c>
      <c r="M42" s="11" t="n">
        <f aca="false">2.2/3.28*B42</f>
        <v>4.47378048780488</v>
      </c>
      <c r="N42" s="11" t="n">
        <f aca="false">2.88/3.28*B42</f>
        <v>5.85658536585366</v>
      </c>
      <c r="O42" s="11" t="n">
        <f aca="false">B42+I42-L42</f>
        <v>6.67042682926829</v>
      </c>
      <c r="P42" s="11" t="n">
        <f aca="false">B42+I42-M42</f>
        <v>4.59621951219512</v>
      </c>
      <c r="Q42" s="11" t="n">
        <f aca="false">B42+I42-N42</f>
        <v>3.21341463414634</v>
      </c>
      <c r="R42" s="2" t="n">
        <f aca="false">B42+I42</f>
        <v>9.07</v>
      </c>
    </row>
    <row r="43" customFormat="false" ht="12.8" hidden="false" customHeight="false" outlineLevel="0" collapsed="false">
      <c r="A43" s="10" t="n">
        <v>5</v>
      </c>
      <c r="B43" s="11" t="n">
        <v>7.27</v>
      </c>
      <c r="C43" s="0"/>
      <c r="D43" s="0"/>
      <c r="E43" s="0"/>
      <c r="F43" s="0"/>
      <c r="G43" s="0"/>
      <c r="H43" s="0"/>
      <c r="I43" s="11" t="n">
        <v>3.77</v>
      </c>
      <c r="J43" s="11"/>
      <c r="K43" s="11" t="n">
        <v>3.5</v>
      </c>
      <c r="L43" s="11" t="n">
        <f aca="false">1.18/3.28*B43</f>
        <v>2.61542682926829</v>
      </c>
      <c r="M43" s="11" t="n">
        <f aca="false">2.2/3.28*B43</f>
        <v>4.87621951219512</v>
      </c>
      <c r="N43" s="11" t="n">
        <f aca="false">2.88/3.28*B43</f>
        <v>6.38341463414634</v>
      </c>
      <c r="O43" s="11" t="n">
        <f aca="false">B43+I43-L43</f>
        <v>8.42457317073171</v>
      </c>
      <c r="P43" s="11" t="n">
        <f aca="false">B43+I43-M43</f>
        <v>6.16378048780488</v>
      </c>
      <c r="Q43" s="11" t="n">
        <f aca="false">B43+I43-N43</f>
        <v>4.65658536585366</v>
      </c>
      <c r="R43" s="2" t="n">
        <f aca="false">B43+I43</f>
        <v>11.04</v>
      </c>
    </row>
    <row r="44" customFormat="false" ht="12.8" hidden="false" customHeight="false" outlineLevel="0" collapsed="false">
      <c r="A44" s="10" t="n">
        <v>5</v>
      </c>
      <c r="B44" s="11" t="n">
        <v>5.57</v>
      </c>
      <c r="C44" s="0"/>
      <c r="D44" s="0"/>
      <c r="E44" s="0"/>
      <c r="F44" s="0"/>
      <c r="G44" s="0"/>
      <c r="H44" s="0"/>
      <c r="I44" s="11" t="n">
        <v>2.17</v>
      </c>
      <c r="J44" s="11"/>
      <c r="K44" s="11" t="n">
        <v>3.4</v>
      </c>
      <c r="L44" s="11" t="n">
        <f aca="false">1.18/3.28*B44</f>
        <v>2.00384146341463</v>
      </c>
      <c r="M44" s="11" t="n">
        <f aca="false">2.2/3.28*B44</f>
        <v>3.7359756097561</v>
      </c>
      <c r="N44" s="11" t="n">
        <f aca="false">2.88/3.28*B44</f>
        <v>4.89073170731707</v>
      </c>
      <c r="O44" s="11" t="n">
        <f aca="false">B44+I44-L44</f>
        <v>5.73615853658537</v>
      </c>
      <c r="P44" s="11" t="n">
        <f aca="false">B44+I44-M44</f>
        <v>4.0040243902439</v>
      </c>
      <c r="Q44" s="11" t="n">
        <f aca="false">B44+I44-N44</f>
        <v>2.84926829268293</v>
      </c>
      <c r="R44" s="2" t="n">
        <f aca="false">B44+I44</f>
        <v>7.74</v>
      </c>
    </row>
    <row r="45" customFormat="false" ht="12.8" hidden="false" customHeight="false" outlineLevel="0" collapsed="false">
      <c r="A45" s="10" t="n">
        <v>5</v>
      </c>
      <c r="B45" s="11" t="n">
        <v>3.73</v>
      </c>
      <c r="C45" s="0"/>
      <c r="D45" s="0"/>
      <c r="E45" s="0"/>
      <c r="F45" s="0"/>
      <c r="G45" s="0"/>
      <c r="H45" s="0"/>
      <c r="I45" s="11" t="n">
        <v>2.77</v>
      </c>
      <c r="J45" s="11"/>
      <c r="K45" s="11" t="n">
        <v>0.96</v>
      </c>
      <c r="L45" s="11" t="n">
        <f aca="false">1.18/3.28*B45</f>
        <v>1.34189024390244</v>
      </c>
      <c r="M45" s="11" t="n">
        <f aca="false">2.2/3.28*B45</f>
        <v>2.50182926829268</v>
      </c>
      <c r="N45" s="11" t="n">
        <f aca="false">2.88/3.28*B45</f>
        <v>3.27512195121951</v>
      </c>
      <c r="O45" s="11" t="n">
        <f aca="false">B45+I45-L45</f>
        <v>5.15810975609756</v>
      </c>
      <c r="P45" s="11" t="n">
        <f aca="false">B45+I45-M45</f>
        <v>3.99817073170732</v>
      </c>
      <c r="Q45" s="11" t="n">
        <f aca="false">B45+I45-N45</f>
        <v>3.22487804878049</v>
      </c>
      <c r="R45" s="2" t="n">
        <f aca="false">B45+I45</f>
        <v>6.5</v>
      </c>
    </row>
    <row r="46" customFormat="false" ht="12.8" hidden="false" customHeight="false" outlineLevel="0" collapsed="false">
      <c r="A46" s="10" t="n">
        <v>5</v>
      </c>
      <c r="B46" s="11" t="n">
        <v>3.97</v>
      </c>
      <c r="C46" s="0"/>
      <c r="D46" s="0"/>
      <c r="E46" s="0"/>
      <c r="F46" s="0"/>
      <c r="G46" s="0"/>
      <c r="H46" s="0"/>
      <c r="I46" s="11" t="n">
        <v>2.43</v>
      </c>
      <c r="J46" s="11"/>
      <c r="K46" s="11" t="n">
        <v>1.54</v>
      </c>
      <c r="L46" s="11" t="n">
        <f aca="false">1.18/3.28*B46</f>
        <v>1.42823170731707</v>
      </c>
      <c r="M46" s="11" t="n">
        <f aca="false">2.2/3.28*B46</f>
        <v>2.66280487804878</v>
      </c>
      <c r="N46" s="11" t="n">
        <f aca="false">2.88/3.28*B46</f>
        <v>3.48585365853659</v>
      </c>
      <c r="O46" s="11" t="n">
        <f aca="false">B46+I46-L46</f>
        <v>4.97176829268293</v>
      </c>
      <c r="P46" s="11" t="n">
        <f aca="false">B46+I46-M46</f>
        <v>3.73719512195122</v>
      </c>
      <c r="Q46" s="11" t="n">
        <f aca="false">B46+I46-N46</f>
        <v>2.91414634146342</v>
      </c>
      <c r="R46" s="2" t="n">
        <f aca="false">B46+I46</f>
        <v>6.4</v>
      </c>
    </row>
    <row r="47" customFormat="false" ht="12.8" hidden="false" customHeight="false" outlineLevel="0" collapsed="false">
      <c r="A47" s="10" t="n">
        <v>5</v>
      </c>
      <c r="B47" s="11" t="n">
        <v>7.37</v>
      </c>
      <c r="C47" s="0"/>
      <c r="D47" s="0"/>
      <c r="E47" s="0"/>
      <c r="F47" s="0"/>
      <c r="G47" s="0"/>
      <c r="H47" s="0"/>
      <c r="I47" s="11" t="n">
        <v>3.63</v>
      </c>
      <c r="J47" s="11"/>
      <c r="K47" s="11" t="n">
        <v>3.74</v>
      </c>
      <c r="L47" s="11" t="n">
        <f aca="false">1.18/3.28*B47</f>
        <v>2.65140243902439</v>
      </c>
      <c r="M47" s="11" t="n">
        <f aca="false">2.2/3.28*B47</f>
        <v>4.94329268292683</v>
      </c>
      <c r="N47" s="11" t="n">
        <f aca="false">2.88/3.28*B47</f>
        <v>6.47121951219512</v>
      </c>
      <c r="O47" s="11" t="n">
        <f aca="false">B47+I47-L47</f>
        <v>8.34859756097561</v>
      </c>
      <c r="P47" s="11" t="n">
        <f aca="false">B47+I47-M47</f>
        <v>6.05670731707317</v>
      </c>
      <c r="Q47" s="11" t="n">
        <f aca="false">B47+I47-N47</f>
        <v>4.52878048780488</v>
      </c>
      <c r="R47" s="2" t="n">
        <f aca="false">B47+I47</f>
        <v>11</v>
      </c>
    </row>
    <row r="48" customFormat="false" ht="12.8" hidden="false" customHeight="false" outlineLevel="0" collapsed="false">
      <c r="A48" s="10" t="n">
        <v>5</v>
      </c>
      <c r="B48" s="11" t="n">
        <v>8.27</v>
      </c>
      <c r="C48" s="0"/>
      <c r="D48" s="0"/>
      <c r="E48" s="0"/>
      <c r="F48" s="0"/>
      <c r="G48" s="0"/>
      <c r="H48" s="0"/>
      <c r="I48" s="11" t="n">
        <v>4.57</v>
      </c>
      <c r="J48" s="11"/>
      <c r="K48" s="11" t="n">
        <v>3.7</v>
      </c>
      <c r="L48" s="11" t="n">
        <f aca="false">1.18/3.28*B48</f>
        <v>2.97518292682927</v>
      </c>
      <c r="M48" s="11" t="n">
        <f aca="false">2.2/3.28*B48</f>
        <v>5.5469512195122</v>
      </c>
      <c r="N48" s="11" t="n">
        <f aca="false">2.88/3.28*B48</f>
        <v>7.26146341463415</v>
      </c>
      <c r="O48" s="11" t="n">
        <f aca="false">B48+I48-L48</f>
        <v>9.86481707317073</v>
      </c>
      <c r="P48" s="11" t="n">
        <f aca="false">B48+I48-M48</f>
        <v>7.29304878048781</v>
      </c>
      <c r="Q48" s="11" t="n">
        <f aca="false">B48+I48-N48</f>
        <v>5.57853658536585</v>
      </c>
      <c r="R48" s="2" t="n">
        <f aca="false">B48+I48</f>
        <v>12.84</v>
      </c>
    </row>
    <row r="49" customFormat="false" ht="12.8" hidden="false" customHeight="false" outlineLevel="0" collapsed="false">
      <c r="A49" s="10" t="n">
        <v>5</v>
      </c>
      <c r="B49" s="11" t="n">
        <v>9.03</v>
      </c>
      <c r="C49" s="0"/>
      <c r="D49" s="0"/>
      <c r="E49" s="0"/>
      <c r="F49" s="0"/>
      <c r="G49" s="0"/>
      <c r="H49" s="0"/>
      <c r="I49" s="11" t="n">
        <v>2.47</v>
      </c>
      <c r="J49" s="11"/>
      <c r="K49" s="11" t="n">
        <v>6.56</v>
      </c>
      <c r="L49" s="11" t="n">
        <f aca="false">1.18/3.28*B49</f>
        <v>3.24859756097561</v>
      </c>
      <c r="M49" s="11" t="n">
        <f aca="false">2.2/3.28*B49</f>
        <v>6.05670731707317</v>
      </c>
      <c r="N49" s="11" t="n">
        <f aca="false">2.88/3.28*B49</f>
        <v>7.92878048780488</v>
      </c>
      <c r="O49" s="11" t="n">
        <f aca="false">B49+I49-L49</f>
        <v>8.25140243902439</v>
      </c>
      <c r="P49" s="11" t="n">
        <f aca="false">B49+I49-M49</f>
        <v>5.44329268292683</v>
      </c>
      <c r="Q49" s="11" t="n">
        <f aca="false">B49+I49-N49</f>
        <v>3.57121951219512</v>
      </c>
      <c r="R49" s="2" t="n">
        <f aca="false">B49+I49</f>
        <v>11.5</v>
      </c>
    </row>
    <row r="50" customFormat="false" ht="12.8" hidden="false" customHeight="false" outlineLevel="0" collapsed="false">
      <c r="A50" s="10" t="n">
        <v>5</v>
      </c>
      <c r="B50" s="11" t="n">
        <v>5.8</v>
      </c>
      <c r="C50" s="0"/>
      <c r="D50" s="0"/>
      <c r="E50" s="0"/>
      <c r="F50" s="0"/>
      <c r="G50" s="0"/>
      <c r="H50" s="0"/>
      <c r="I50" s="11" t="n">
        <v>1.53</v>
      </c>
      <c r="J50" s="11"/>
      <c r="K50" s="11" t="n">
        <v>4.27</v>
      </c>
      <c r="L50" s="11" t="n">
        <f aca="false">1.18/3.28*B50</f>
        <v>2.08658536585366</v>
      </c>
      <c r="M50" s="11" t="n">
        <f aca="false">2.2/3.28*B50</f>
        <v>3.89024390243902</v>
      </c>
      <c r="N50" s="11" t="n">
        <f aca="false">2.88/3.28*B50</f>
        <v>5.09268292682927</v>
      </c>
      <c r="O50" s="11" t="n">
        <f aca="false">B50+I50-L50</f>
        <v>5.24341463414634</v>
      </c>
      <c r="P50" s="11" t="n">
        <f aca="false">B50+I50-M50</f>
        <v>3.43975609756098</v>
      </c>
      <c r="Q50" s="11" t="n">
        <f aca="false">B50+I50-N50</f>
        <v>2.23731707317073</v>
      </c>
      <c r="R50" s="2" t="n">
        <f aca="false">B50+I50</f>
        <v>7.33</v>
      </c>
    </row>
    <row r="51" customFormat="false" ht="12.8" hidden="false" customHeight="false" outlineLevel="0" collapsed="false">
      <c r="A51" s="10" t="n">
        <v>5</v>
      </c>
      <c r="B51" s="11" t="n">
        <v>3.83</v>
      </c>
      <c r="C51" s="0"/>
      <c r="D51" s="0"/>
      <c r="E51" s="0"/>
      <c r="F51" s="0"/>
      <c r="G51" s="0"/>
      <c r="H51" s="0"/>
      <c r="I51" s="11" t="n">
        <v>2.1</v>
      </c>
      <c r="J51" s="11"/>
      <c r="K51" s="11" t="n">
        <v>1.73</v>
      </c>
      <c r="L51" s="11" t="n">
        <f aca="false">1.18/3.28*B51</f>
        <v>1.37786585365854</v>
      </c>
      <c r="M51" s="11" t="n">
        <f aca="false">2.2/3.28*B51</f>
        <v>2.56890243902439</v>
      </c>
      <c r="N51" s="11" t="n">
        <f aca="false">2.88/3.28*B51</f>
        <v>3.36292682926829</v>
      </c>
      <c r="O51" s="11" t="n">
        <f aca="false">B51+I51-L51</f>
        <v>4.55213414634146</v>
      </c>
      <c r="P51" s="11" t="n">
        <f aca="false">B51+I51-M51</f>
        <v>3.36109756097561</v>
      </c>
      <c r="Q51" s="11" t="n">
        <f aca="false">B51+I51-N51</f>
        <v>2.56707317073171</v>
      </c>
      <c r="R51" s="2" t="n">
        <f aca="false">B51+I51</f>
        <v>5.93</v>
      </c>
    </row>
    <row r="52" customFormat="false" ht="12.8" hidden="false" customHeight="false" outlineLevel="0" collapsed="false">
      <c r="A52" s="10" t="n">
        <v>5</v>
      </c>
      <c r="B52" s="11" t="n">
        <v>7.63</v>
      </c>
      <c r="C52" s="0"/>
      <c r="D52" s="0"/>
      <c r="E52" s="0"/>
      <c r="F52" s="0"/>
      <c r="G52" s="0"/>
      <c r="H52" s="0"/>
      <c r="I52" s="11" t="n">
        <v>1.7</v>
      </c>
      <c r="J52" s="11"/>
      <c r="K52" s="11" t="n">
        <v>5.93</v>
      </c>
      <c r="L52" s="11" t="n">
        <f aca="false">1.18/3.28*B52</f>
        <v>2.74493902439024</v>
      </c>
      <c r="M52" s="11" t="n">
        <f aca="false">2.2/3.28*B52</f>
        <v>5.11768292682927</v>
      </c>
      <c r="N52" s="11" t="n">
        <f aca="false">2.88/3.28*B52</f>
        <v>6.69951219512195</v>
      </c>
      <c r="O52" s="11" t="n">
        <f aca="false">B52+I52-L52</f>
        <v>6.58506097560976</v>
      </c>
      <c r="P52" s="11" t="n">
        <f aca="false">B52+I52-M52</f>
        <v>4.21231707317073</v>
      </c>
      <c r="Q52" s="11" t="n">
        <f aca="false">B52+I52-N52</f>
        <v>2.63048780487805</v>
      </c>
      <c r="R52" s="2" t="n">
        <f aca="false">B52+I52</f>
        <v>9.33</v>
      </c>
    </row>
    <row r="53" customFormat="false" ht="12.8" hidden="false" customHeight="false" outlineLevel="0" collapsed="false">
      <c r="A53" s="10" t="n">
        <v>5</v>
      </c>
      <c r="B53" s="11" t="n">
        <v>4.27</v>
      </c>
      <c r="C53" s="0"/>
      <c r="D53" s="0"/>
      <c r="E53" s="0"/>
      <c r="F53" s="0"/>
      <c r="G53" s="0"/>
      <c r="H53" s="0"/>
      <c r="I53" s="11" t="n">
        <v>2.17</v>
      </c>
      <c r="J53" s="11"/>
      <c r="K53" s="11" t="n">
        <v>2.1</v>
      </c>
      <c r="L53" s="11" t="n">
        <f aca="false">1.18/3.28*B53</f>
        <v>1.53615853658537</v>
      </c>
      <c r="M53" s="11" t="n">
        <f aca="false">2.2/3.28*B53</f>
        <v>2.8640243902439</v>
      </c>
      <c r="N53" s="11" t="n">
        <f aca="false">2.88/3.28*B53</f>
        <v>3.74926829268293</v>
      </c>
      <c r="O53" s="11" t="n">
        <f aca="false">B53+I53-L53</f>
        <v>4.90384146341463</v>
      </c>
      <c r="P53" s="11" t="n">
        <f aca="false">B53+I53-M53</f>
        <v>3.5759756097561</v>
      </c>
      <c r="Q53" s="11" t="n">
        <f aca="false">B53+I53-N53</f>
        <v>2.69073170731707</v>
      </c>
      <c r="R53" s="2" t="n">
        <f aca="false">B53+I53</f>
        <v>6.44</v>
      </c>
    </row>
    <row r="54" customFormat="false" ht="12.8" hidden="false" customHeight="false" outlineLevel="0" collapsed="false">
      <c r="A54" s="10" t="n">
        <v>5</v>
      </c>
      <c r="B54" s="11" t="n">
        <v>4.3</v>
      </c>
      <c r="C54" s="0"/>
      <c r="D54" s="0"/>
      <c r="E54" s="0"/>
      <c r="F54" s="0"/>
      <c r="G54" s="0"/>
      <c r="H54" s="0"/>
      <c r="I54" s="11" t="n">
        <v>1.83</v>
      </c>
      <c r="J54" s="11"/>
      <c r="K54" s="11" t="n">
        <v>2.47</v>
      </c>
      <c r="L54" s="11" t="n">
        <f aca="false">1.18/3.28*B54</f>
        <v>1.5469512195122</v>
      </c>
      <c r="M54" s="11" t="n">
        <f aca="false">2.2/3.28*B54</f>
        <v>2.88414634146341</v>
      </c>
      <c r="N54" s="11" t="n">
        <f aca="false">2.88/3.28*B54</f>
        <v>3.77560975609756</v>
      </c>
      <c r="O54" s="11" t="n">
        <f aca="false">B54+I54-L54</f>
        <v>4.58304878048781</v>
      </c>
      <c r="P54" s="11" t="n">
        <f aca="false">B54+I54-M54</f>
        <v>3.24585365853659</v>
      </c>
      <c r="Q54" s="11" t="n">
        <f aca="false">B54+I54-N54</f>
        <v>2.35439024390244</v>
      </c>
      <c r="R54" s="2" t="n">
        <f aca="false">B54+I54</f>
        <v>6.13</v>
      </c>
    </row>
    <row r="55" customFormat="false" ht="12.8" hidden="false" customHeight="false" outlineLevel="0" collapsed="false">
      <c r="A55" s="10" t="n">
        <v>5</v>
      </c>
      <c r="B55" s="11" t="n">
        <v>6.23</v>
      </c>
      <c r="C55" s="0"/>
      <c r="D55" s="0"/>
      <c r="E55" s="0"/>
      <c r="F55" s="0"/>
      <c r="G55" s="0"/>
      <c r="H55" s="0"/>
      <c r="I55" s="11" t="n">
        <v>1.63</v>
      </c>
      <c r="J55" s="11"/>
      <c r="K55" s="11" t="n">
        <v>4.6</v>
      </c>
      <c r="L55" s="11" t="n">
        <f aca="false">1.18/3.28*B55</f>
        <v>2.24128048780488</v>
      </c>
      <c r="M55" s="11" t="n">
        <f aca="false">2.2/3.28*B55</f>
        <v>4.17865853658537</v>
      </c>
      <c r="N55" s="11" t="n">
        <f aca="false">2.88/3.28*B55</f>
        <v>5.47024390243903</v>
      </c>
      <c r="O55" s="11" t="n">
        <f aca="false">B55+I55-L55</f>
        <v>5.61871951219512</v>
      </c>
      <c r="P55" s="11" t="n">
        <f aca="false">B55+I55-M55</f>
        <v>3.68134146341463</v>
      </c>
      <c r="Q55" s="11" t="n">
        <f aca="false">B55+I55-N55</f>
        <v>2.38975609756098</v>
      </c>
      <c r="R55" s="2" t="n">
        <f aca="false">B55+I55</f>
        <v>7.86</v>
      </c>
    </row>
    <row r="56" customFormat="false" ht="12.8" hidden="false" customHeight="false" outlineLevel="0" collapsed="false">
      <c r="A56" s="10" t="n">
        <v>5</v>
      </c>
      <c r="B56" s="11" t="n">
        <v>8.27</v>
      </c>
      <c r="C56" s="0"/>
      <c r="D56" s="0"/>
      <c r="E56" s="0"/>
      <c r="F56" s="0"/>
      <c r="G56" s="0"/>
      <c r="H56" s="0"/>
      <c r="I56" s="11" t="n">
        <v>2.9</v>
      </c>
      <c r="J56" s="11"/>
      <c r="K56" s="11" t="n">
        <v>5.37</v>
      </c>
      <c r="L56" s="11" t="n">
        <f aca="false">1.18/3.28*B56</f>
        <v>2.97518292682927</v>
      </c>
      <c r="M56" s="11" t="n">
        <f aca="false">2.2/3.28*B56</f>
        <v>5.5469512195122</v>
      </c>
      <c r="N56" s="11" t="n">
        <f aca="false">2.88/3.28*B56</f>
        <v>7.26146341463415</v>
      </c>
      <c r="O56" s="11" t="n">
        <f aca="false">B56+I56-L56</f>
        <v>8.19481707317073</v>
      </c>
      <c r="P56" s="11" t="n">
        <f aca="false">B56+I56-M56</f>
        <v>5.62304878048781</v>
      </c>
      <c r="Q56" s="11" t="n">
        <f aca="false">B56+I56-N56</f>
        <v>3.90853658536585</v>
      </c>
      <c r="R56" s="2" t="n">
        <f aca="false">B56+I56</f>
        <v>11.17</v>
      </c>
    </row>
    <row r="57" customFormat="false" ht="12.8" hidden="false" customHeight="false" outlineLevel="0" collapsed="false">
      <c r="A57" s="10" t="n">
        <v>5</v>
      </c>
      <c r="B57" s="11" t="n">
        <v>6.2</v>
      </c>
      <c r="C57" s="0"/>
      <c r="D57" s="0"/>
      <c r="E57" s="0"/>
      <c r="F57" s="0"/>
      <c r="G57" s="0"/>
      <c r="H57" s="0"/>
      <c r="I57" s="11" t="n">
        <v>2.27</v>
      </c>
      <c r="J57" s="11"/>
      <c r="K57" s="11" t="n">
        <v>3.93</v>
      </c>
      <c r="L57" s="11" t="n">
        <f aca="false">1.18/3.28*B57</f>
        <v>2.23048780487805</v>
      </c>
      <c r="M57" s="11" t="n">
        <f aca="false">2.2/3.28*B57</f>
        <v>4.15853658536585</v>
      </c>
      <c r="N57" s="11" t="n">
        <f aca="false">2.88/3.28*B57</f>
        <v>5.44390243902439</v>
      </c>
      <c r="O57" s="11" t="n">
        <f aca="false">B57+I57-L57</f>
        <v>6.23951219512195</v>
      </c>
      <c r="P57" s="11" t="n">
        <f aca="false">B57+I57-M57</f>
        <v>4.31146341463415</v>
      </c>
      <c r="Q57" s="11" t="n">
        <f aca="false">B57+I57-N57</f>
        <v>3.02609756097561</v>
      </c>
      <c r="R57" s="2" t="n">
        <f aca="false">B57+I57</f>
        <v>8.47</v>
      </c>
    </row>
    <row r="58" customFormat="false" ht="12.8" hidden="false" customHeight="false" outlineLevel="0" collapsed="false">
      <c r="A58" s="10" t="n">
        <v>5</v>
      </c>
      <c r="B58" s="11" t="n">
        <v>3.93</v>
      </c>
      <c r="C58" s="0"/>
      <c r="D58" s="0"/>
      <c r="E58" s="0"/>
      <c r="F58" s="0"/>
      <c r="G58" s="0"/>
      <c r="H58" s="0"/>
      <c r="I58" s="11" t="n">
        <v>1.57</v>
      </c>
      <c r="J58" s="11"/>
      <c r="K58" s="11" t="n">
        <v>2.36</v>
      </c>
      <c r="L58" s="11" t="n">
        <f aca="false">1.18/3.28*B58</f>
        <v>1.41384146341463</v>
      </c>
      <c r="M58" s="11" t="n">
        <f aca="false">2.2/3.28*B58</f>
        <v>2.6359756097561</v>
      </c>
      <c r="N58" s="11" t="n">
        <f aca="false">2.88/3.28*B58</f>
        <v>3.45073170731707</v>
      </c>
      <c r="O58" s="11" t="n">
        <f aca="false">B58+I58-L58</f>
        <v>4.08615853658537</v>
      </c>
      <c r="P58" s="11" t="n">
        <f aca="false">B58+I58-M58</f>
        <v>2.8640243902439</v>
      </c>
      <c r="Q58" s="11" t="n">
        <f aca="false">B58+I58-N58</f>
        <v>2.04926829268293</v>
      </c>
      <c r="R58" s="2" t="n">
        <f aca="false">B58+I58</f>
        <v>5.5</v>
      </c>
    </row>
    <row r="59" customFormat="false" ht="12.8" hidden="false" customHeight="false" outlineLevel="0" collapsed="false">
      <c r="A59" s="10" t="n">
        <v>5</v>
      </c>
      <c r="B59" s="11" t="n">
        <v>5.63</v>
      </c>
      <c r="C59" s="0"/>
      <c r="D59" s="0"/>
      <c r="E59" s="0"/>
      <c r="F59" s="0"/>
      <c r="G59" s="0"/>
      <c r="H59" s="0"/>
      <c r="I59" s="11" t="n">
        <v>2.57</v>
      </c>
      <c r="J59" s="11"/>
      <c r="K59" s="11" t="n">
        <v>3.06</v>
      </c>
      <c r="L59" s="11" t="n">
        <f aca="false">1.18/3.28*B59</f>
        <v>2.02542682926829</v>
      </c>
      <c r="M59" s="11" t="n">
        <f aca="false">2.2/3.28*B59</f>
        <v>3.77621951219512</v>
      </c>
      <c r="N59" s="11" t="n">
        <f aca="false">2.88/3.28*B59</f>
        <v>4.94341463414634</v>
      </c>
      <c r="O59" s="11" t="n">
        <f aca="false">B59+I59-L59</f>
        <v>6.17457317073171</v>
      </c>
      <c r="P59" s="11" t="n">
        <f aca="false">B59+I59-M59</f>
        <v>4.42378048780488</v>
      </c>
      <c r="Q59" s="11" t="n">
        <f aca="false">B59+I59-N59</f>
        <v>3.25658536585366</v>
      </c>
      <c r="R59" s="2" t="n">
        <f aca="false">B59+I59</f>
        <v>8.2</v>
      </c>
    </row>
    <row r="60" customFormat="false" ht="12.8" hidden="false" customHeight="false" outlineLevel="0" collapsed="false">
      <c r="A60" s="10" t="n">
        <v>5</v>
      </c>
      <c r="B60" s="11" t="n">
        <v>4.3</v>
      </c>
      <c r="C60" s="0"/>
      <c r="D60" s="0"/>
      <c r="E60" s="0"/>
      <c r="F60" s="0"/>
      <c r="G60" s="0"/>
      <c r="H60" s="0"/>
      <c r="I60" s="11" t="n">
        <v>1.93</v>
      </c>
      <c r="J60" s="11"/>
      <c r="K60" s="11" t="n">
        <v>2.37</v>
      </c>
      <c r="L60" s="11" t="n">
        <f aca="false">1.18/3.28*B60</f>
        <v>1.5469512195122</v>
      </c>
      <c r="M60" s="11" t="n">
        <f aca="false">2.2/3.28*B60</f>
        <v>2.88414634146341</v>
      </c>
      <c r="N60" s="11" t="n">
        <f aca="false">2.88/3.28*B60</f>
        <v>3.77560975609756</v>
      </c>
      <c r="O60" s="11" t="n">
        <f aca="false">B60+I60-L60</f>
        <v>4.6830487804878</v>
      </c>
      <c r="P60" s="11" t="n">
        <f aca="false">B60+I60-M60</f>
        <v>3.34585365853659</v>
      </c>
      <c r="Q60" s="11" t="n">
        <f aca="false">B60+I60-N60</f>
        <v>2.45439024390244</v>
      </c>
      <c r="R60" s="2" t="n">
        <f aca="false">B60+I60</f>
        <v>6.23</v>
      </c>
    </row>
    <row r="61" customFormat="false" ht="12.8" hidden="false" customHeight="false" outlineLevel="0" collapsed="false">
      <c r="A61" s="10" t="n">
        <v>5</v>
      </c>
      <c r="B61" s="11" t="n">
        <v>7.8</v>
      </c>
      <c r="C61" s="0"/>
      <c r="D61" s="0"/>
      <c r="E61" s="0"/>
      <c r="F61" s="0"/>
      <c r="G61" s="0"/>
      <c r="H61" s="0"/>
      <c r="I61" s="11" t="n">
        <v>5.43</v>
      </c>
      <c r="J61" s="11"/>
      <c r="K61" s="11" t="n">
        <v>2.37</v>
      </c>
      <c r="L61" s="11" t="n">
        <f aca="false">1.18/3.28*B61</f>
        <v>2.80609756097561</v>
      </c>
      <c r="M61" s="11" t="n">
        <f aca="false">2.2/3.28*B61</f>
        <v>5.23170731707317</v>
      </c>
      <c r="N61" s="11" t="n">
        <f aca="false">2.88/3.28*B61</f>
        <v>6.84878048780488</v>
      </c>
      <c r="O61" s="11" t="n">
        <f aca="false">B61+I61-L61</f>
        <v>10.4239024390244</v>
      </c>
      <c r="P61" s="11" t="n">
        <f aca="false">B61+I61-M61</f>
        <v>7.99829268292683</v>
      </c>
      <c r="Q61" s="11" t="n">
        <f aca="false">B61+I61-N61</f>
        <v>6.38121951219512</v>
      </c>
      <c r="R61" s="2" t="n">
        <f aca="false">B61+I61</f>
        <v>13.23</v>
      </c>
    </row>
    <row r="62" customFormat="false" ht="12.8" hidden="false" customHeight="false" outlineLevel="0" collapsed="false">
      <c r="M62" s="0"/>
      <c r="N62" s="0"/>
      <c r="O62" s="2" t="n">
        <f aca="false">COUNTIF(O2:O61,"&gt;4.6")</f>
        <v>53</v>
      </c>
      <c r="P62" s="2" t="n">
        <f aca="false">COUNTIF(P2:P61,"&gt;4.6")</f>
        <v>30</v>
      </c>
      <c r="Q62" s="2" t="n">
        <f aca="false">COUNTIF(Q2:Q61,"&gt;4.6")</f>
        <v>8</v>
      </c>
      <c r="R62" s="13" t="s">
        <v>15</v>
      </c>
    </row>
    <row r="63" customFormat="false" ht="12.8" hidden="false" customHeight="false" outlineLevel="0" collapsed="false">
      <c r="M63" s="0"/>
      <c r="N63" s="0"/>
      <c r="O63" s="2" t="n">
        <f aca="false">6.14-1.54</f>
        <v>4.6</v>
      </c>
      <c r="P63" s="2" t="n">
        <f aca="false">8.9-4.3</f>
        <v>4.6</v>
      </c>
      <c r="Q63" s="2" t="n">
        <f aca="false">11.92-7.32</f>
        <v>4.6</v>
      </c>
      <c r="R63" s="14"/>
    </row>
    <row r="64" customFormat="false" ht="12.8" hidden="false" customHeight="false" outlineLevel="0" collapsed="false">
      <c r="O64" s="2" t="n">
        <f aca="false">COUNTIF(O2:O61,"&lt;=4.6")</f>
        <v>7</v>
      </c>
      <c r="P64" s="2" t="n">
        <f aca="false">COUNTIF(P2:P61,"&lt;4.6")</f>
        <v>30</v>
      </c>
      <c r="Q64" s="2" t="n">
        <f aca="false">COUNTIF(Q2:Q61,"&lt;4.6")</f>
        <v>52</v>
      </c>
      <c r="R64" s="13" t="s">
        <v>16</v>
      </c>
    </row>
    <row r="66" customFormat="false" ht="15.65" hidden="false" customHeight="false" outlineLevel="0" collapsed="false">
      <c r="M66" s="13" t="s">
        <v>17</v>
      </c>
      <c r="N66" s="2" t="n">
        <v>0</v>
      </c>
      <c r="O66" s="2" t="n">
        <f aca="false">COUNTIF(O2:O61,"&gt;4.6")</f>
        <v>53</v>
      </c>
      <c r="P66" s="2" t="n">
        <f aca="false">COUNTIF(P2:P61,"&gt;5.6")</f>
        <v>14</v>
      </c>
      <c r="Q66" s="2" t="n">
        <f aca="false">COUNTIF(Q2:Q61,"&gt;4.6")</f>
        <v>8</v>
      </c>
    </row>
    <row r="67" customFormat="false" ht="12.8" hidden="false" customHeight="false" outlineLevel="0" collapsed="false">
      <c r="N67" s="2" t="n">
        <v>1</v>
      </c>
      <c r="O67" s="2" t="n">
        <f aca="false">COUNTIF(O2:O61,"&gt;5.6")</f>
        <v>43</v>
      </c>
      <c r="P67" s="2" t="n">
        <f aca="false">COUNTIF(P2:P61,"&gt;6.6")</f>
        <v>7</v>
      </c>
      <c r="Q67" s="2" t="n">
        <f aca="false">COUNTIF(Q2:Q61,"&gt;5.6")</f>
        <v>4</v>
      </c>
    </row>
    <row r="68" customFormat="false" ht="12.8" hidden="false" customHeight="false" outlineLevel="0" collapsed="false">
      <c r="N68" s="2" t="n">
        <v>2</v>
      </c>
      <c r="O68" s="2" t="n">
        <f aca="false">COUNTIF(O2:O61,"&gt;6.6")</f>
        <v>29</v>
      </c>
      <c r="P68" s="2" t="n">
        <f aca="false">COUNTIF(P2:P61,"&gt;7.6")</f>
        <v>3</v>
      </c>
      <c r="Q68" s="2" t="n">
        <f aca="false">COUNTIF(Q2:Q61,"&gt;6.6")</f>
        <v>2</v>
      </c>
    </row>
    <row r="69" customFormat="false" ht="12.8" hidden="false" customHeight="false" outlineLevel="0" collapsed="false">
      <c r="N69" s="2" t="n">
        <v>3</v>
      </c>
      <c r="O69" s="2" t="n">
        <f aca="false">COUNTIF(O2:O61,"&gt;7.6")</f>
        <v>17</v>
      </c>
      <c r="P69" s="2" t="n">
        <f aca="false">COUNTIF(P2:P61,"&gt;8.6")</f>
        <v>2</v>
      </c>
      <c r="Q69" s="2" t="n">
        <f aca="false">COUNTIF(Q2:Q61,"&gt;7.6")</f>
        <v>2</v>
      </c>
    </row>
    <row r="70" customFormat="false" ht="12.8" hidden="false" customHeight="false" outlineLevel="0" collapsed="false">
      <c r="N70" s="2" t="n">
        <v>4</v>
      </c>
      <c r="O70" s="2" t="n">
        <f aca="false">COUNTIF(O2:O61,"&gt;8.6")</f>
        <v>10</v>
      </c>
      <c r="P70" s="2" t="n">
        <f aca="false">COUNTIF(P2:P61,"&gt;9.6")</f>
        <v>1</v>
      </c>
      <c r="Q70" s="2" t="n">
        <f aca="false">COUNTIF(Q3:Q62,"&gt;8.6")</f>
        <v>0</v>
      </c>
    </row>
    <row r="71" customFormat="false" ht="12.8" hidden="false" customHeight="false" outlineLevel="0" collapsed="false">
      <c r="N71" s="2" t="n">
        <v>5</v>
      </c>
      <c r="O71" s="2" t="n">
        <f aca="false">COUNTIF(O2:O61,"&gt;9.6")</f>
        <v>7</v>
      </c>
      <c r="P71" s="2" t="n">
        <f aca="false">COUNTIF(P2:P61,"&gt;10.6")</f>
        <v>0</v>
      </c>
    </row>
    <row r="72" customFormat="false" ht="12.8" hidden="false" customHeight="false" outlineLevel="0" collapsed="false">
      <c r="N72" s="2" t="n">
        <v>6</v>
      </c>
      <c r="O72" s="2" t="n">
        <f aca="false">COUNTIF(O2:O61,"&gt;10.6")</f>
        <v>2</v>
      </c>
    </row>
    <row r="73" customFormat="false" ht="12.8" hidden="false" customHeight="false" outlineLevel="0" collapsed="false">
      <c r="N73" s="2" t="n">
        <v>7</v>
      </c>
      <c r="O73" s="2" t="n">
        <f aca="false">COUNTIF(O2:O61,"&gt;11.6")</f>
        <v>1</v>
      </c>
    </row>
    <row r="74" customFormat="false" ht="12.8" hidden="false" customHeight="false" outlineLevel="0" collapsed="false">
      <c r="N74" s="2" t="n">
        <v>10</v>
      </c>
      <c r="O74" s="2" t="n">
        <f aca="false">COUNTIF(O2:O61,"&gt;14.6")</f>
        <v>0</v>
      </c>
    </row>
    <row r="76" customFormat="false" ht="12.8" hidden="false" customHeight="false" outlineLevel="0" collapsed="false">
      <c r="O76" s="13" t="s">
        <v>18</v>
      </c>
      <c r="Q76" s="13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A1:G6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6.02"/>
    <col collapsed="false" customWidth="true" hidden="false" outlineLevel="0" max="3" min="3" style="1" width="8.39"/>
    <col collapsed="false" customWidth="true" hidden="false" outlineLevel="0" max="4" min="4" style="1" width="9.36"/>
    <col collapsed="false" customWidth="true" hidden="false" outlineLevel="0" max="6" min="5" style="1" width="13.4"/>
    <col collapsed="false" customWidth="true" hidden="false" outlineLevel="0" max="7" min="7" style="1" width="8.52"/>
    <col collapsed="false" customWidth="true" hidden="false" outlineLevel="0" max="8" min="8" style="1" width="39.55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10" t="s">
        <v>20</v>
      </c>
      <c r="B1" s="6"/>
      <c r="C1" s="15" t="s">
        <v>21</v>
      </c>
      <c r="D1" s="16" t="s">
        <v>22</v>
      </c>
      <c r="E1" s="16" t="s">
        <v>23</v>
      </c>
      <c r="F1" s="16" t="s">
        <v>24</v>
      </c>
      <c r="G1" s="15" t="s">
        <v>25</v>
      </c>
      <c r="H1" s="10"/>
    </row>
    <row r="2" customFormat="false" ht="12.8" hidden="false" customHeight="false" outlineLevel="0" collapsed="false">
      <c r="A2" s="10" t="n">
        <v>1</v>
      </c>
      <c r="B2" s="11"/>
      <c r="C2" s="17" t="n">
        <f aca="false">(E2-D2)/30</f>
        <v>5.63333333333333</v>
      </c>
      <c r="D2" s="18" t="n">
        <v>14560</v>
      </c>
      <c r="E2" s="18" t="n">
        <v>14729</v>
      </c>
      <c r="F2" s="18" t="n">
        <v>14829</v>
      </c>
      <c r="G2" s="17" t="n">
        <f aca="false">(F2-E2)/30</f>
        <v>3.33333333333333</v>
      </c>
      <c r="H2" s="10"/>
    </row>
    <row r="3" customFormat="false" ht="12.8" hidden="false" customHeight="false" outlineLevel="0" collapsed="false">
      <c r="A3" s="10" t="n">
        <v>1</v>
      </c>
      <c r="B3" s="12" t="s">
        <v>26</v>
      </c>
      <c r="C3" s="17" t="n">
        <f aca="false">(E3-D3)/30</f>
        <v>8.8</v>
      </c>
      <c r="D3" s="18" t="n">
        <v>44795</v>
      </c>
      <c r="E3" s="18" t="n">
        <v>45059</v>
      </c>
      <c r="F3" s="18"/>
      <c r="G3" s="17" t="n">
        <f aca="false">(F3-E3)/30</f>
        <v>-1501.96666666667</v>
      </c>
      <c r="H3" s="10"/>
    </row>
    <row r="4" customFormat="false" ht="12.8" hidden="false" customHeight="false" outlineLevel="0" collapsed="false">
      <c r="A4" s="10" t="n">
        <v>1</v>
      </c>
      <c r="B4" s="12" t="s">
        <v>26</v>
      </c>
      <c r="C4" s="17" t="n">
        <f aca="false">(E4-D4)/30</f>
        <v>8.56666666666667</v>
      </c>
      <c r="D4" s="18" t="n">
        <v>44802</v>
      </c>
      <c r="E4" s="18" t="n">
        <v>45059</v>
      </c>
      <c r="F4" s="18"/>
      <c r="G4" s="17" t="n">
        <f aca="false">(F4-E4)/30</f>
        <v>-1501.96666666667</v>
      </c>
      <c r="H4" s="10"/>
    </row>
    <row r="5" customFormat="false" ht="15.65" hidden="false" customHeight="false" outlineLevel="0" collapsed="false">
      <c r="A5" s="10" t="n">
        <v>1</v>
      </c>
      <c r="B5" s="12" t="s">
        <v>26</v>
      </c>
      <c r="C5" s="17" t="n">
        <f aca="false">(E5-D5)/30</f>
        <v>5.7</v>
      </c>
      <c r="D5" s="18" t="n">
        <v>87919</v>
      </c>
      <c r="E5" s="18" t="n">
        <v>88090</v>
      </c>
      <c r="F5" s="18"/>
      <c r="G5" s="17" t="n">
        <f aca="false">(F5-E5)/30</f>
        <v>-2936.33333333333</v>
      </c>
      <c r="H5" s="19" t="s">
        <v>27</v>
      </c>
    </row>
    <row r="6" customFormat="false" ht="15.65" hidden="false" customHeight="false" outlineLevel="0" collapsed="false">
      <c r="A6" s="10" t="n">
        <v>2</v>
      </c>
      <c r="B6" s="11"/>
      <c r="C6" s="17" t="n">
        <f aca="false">(E6-D6)/30</f>
        <v>4.86666666666667</v>
      </c>
      <c r="D6" s="18" t="n">
        <v>1939</v>
      </c>
      <c r="E6" s="18" t="n">
        <v>2085</v>
      </c>
      <c r="F6" s="18" t="n">
        <v>2314</v>
      </c>
      <c r="G6" s="17" t="n">
        <f aca="false">(F6-E6)/30</f>
        <v>7.63333333333333</v>
      </c>
      <c r="H6" s="19" t="s">
        <v>28</v>
      </c>
    </row>
    <row r="7" customFormat="false" ht="12.8" hidden="false" customHeight="false" outlineLevel="0" collapsed="false">
      <c r="A7" s="10" t="n">
        <v>2</v>
      </c>
      <c r="B7" s="11"/>
      <c r="C7" s="17" t="n">
        <f aca="false">(E7-D7)/30</f>
        <v>7.56666666666667</v>
      </c>
      <c r="D7" s="18" t="n">
        <v>1960</v>
      </c>
      <c r="E7" s="18" t="n">
        <v>2187</v>
      </c>
      <c r="F7" s="18" t="n">
        <v>2322</v>
      </c>
      <c r="G7" s="17" t="n">
        <f aca="false">(F7-E7)/30</f>
        <v>4.5</v>
      </c>
      <c r="H7" s="10"/>
    </row>
    <row r="8" customFormat="false" ht="12.8" hidden="false" customHeight="false" outlineLevel="0" collapsed="false">
      <c r="A8" s="10" t="n">
        <v>2</v>
      </c>
      <c r="B8" s="11"/>
      <c r="C8" s="17" t="n">
        <f aca="false">(E8-D8)/30</f>
        <v>7.8</v>
      </c>
      <c r="D8" s="18" t="n">
        <v>1996</v>
      </c>
      <c r="E8" s="18" t="n">
        <v>2230</v>
      </c>
      <c r="F8" s="18" t="n">
        <v>2343</v>
      </c>
      <c r="G8" s="17" t="n">
        <f aca="false">(F8-E8)/30</f>
        <v>3.76666666666667</v>
      </c>
      <c r="H8" s="10"/>
    </row>
    <row r="9" customFormat="false" ht="15.65" hidden="false" customHeight="false" outlineLevel="0" collapsed="false">
      <c r="A9" s="10" t="n">
        <v>2</v>
      </c>
      <c r="B9" s="12" t="s">
        <v>26</v>
      </c>
      <c r="C9" s="17" t="n">
        <f aca="false">(E9-D9)/30</f>
        <v>5.33333333333333</v>
      </c>
      <c r="D9" s="18" t="n">
        <v>2441</v>
      </c>
      <c r="E9" s="18" t="n">
        <v>2601</v>
      </c>
      <c r="F9" s="18"/>
      <c r="G9" s="17" t="n">
        <f aca="false">(F9-E9)/30</f>
        <v>-86.7</v>
      </c>
      <c r="H9" s="19" t="s">
        <v>29</v>
      </c>
    </row>
    <row r="10" customFormat="false" ht="15.65" hidden="false" customHeight="false" outlineLevel="0" collapsed="false">
      <c r="A10" s="10" t="n">
        <v>2</v>
      </c>
      <c r="B10" s="12" t="s">
        <v>26</v>
      </c>
      <c r="C10" s="17" t="n">
        <f aca="false">(E10-D10)/30</f>
        <v>6</v>
      </c>
      <c r="D10" s="18" t="n">
        <v>2440</v>
      </c>
      <c r="E10" s="18" t="n">
        <v>2620</v>
      </c>
      <c r="F10" s="18"/>
      <c r="G10" s="17" t="n">
        <f aca="false">(F10-E10)/30</f>
        <v>-87.3333333333333</v>
      </c>
      <c r="H10" s="19" t="s">
        <v>29</v>
      </c>
    </row>
    <row r="11" customFormat="false" ht="12.8" hidden="false" customHeight="false" outlineLevel="0" collapsed="false">
      <c r="A11" s="10" t="n">
        <v>2</v>
      </c>
      <c r="B11" s="11"/>
      <c r="C11" s="17" t="n">
        <f aca="false">(E11-D11)/30</f>
        <v>6.66666666666667</v>
      </c>
      <c r="D11" s="18" t="n">
        <v>42743</v>
      </c>
      <c r="E11" s="18" t="n">
        <v>42943</v>
      </c>
      <c r="F11" s="18" t="n">
        <v>43024</v>
      </c>
      <c r="G11" s="17" t="n">
        <f aca="false">(F11-E11)/30</f>
        <v>2.7</v>
      </c>
      <c r="H11" s="10"/>
    </row>
    <row r="12" customFormat="false" ht="12.8" hidden="false" customHeight="false" outlineLevel="0" collapsed="false">
      <c r="A12" s="10" t="n">
        <v>2</v>
      </c>
      <c r="B12" s="11"/>
      <c r="C12" s="17" t="n">
        <f aca="false">(E12-D12)/30</f>
        <v>4.73333333333333</v>
      </c>
      <c r="D12" s="18" t="n">
        <v>52070</v>
      </c>
      <c r="E12" s="18" t="n">
        <v>52212</v>
      </c>
      <c r="F12" s="18" t="n">
        <v>52316</v>
      </c>
      <c r="G12" s="17" t="n">
        <f aca="false">(F12-E12)/30</f>
        <v>3.46666666666667</v>
      </c>
      <c r="H12" s="10"/>
    </row>
    <row r="13" customFormat="false" ht="12.8" hidden="false" customHeight="false" outlineLevel="0" collapsed="false">
      <c r="A13" s="10" t="n">
        <v>2</v>
      </c>
      <c r="B13" s="11"/>
      <c r="C13" s="17" t="n">
        <f aca="false">(E13-D13)/30</f>
        <v>6.33333333333333</v>
      </c>
      <c r="D13" s="18" t="n">
        <v>76460</v>
      </c>
      <c r="E13" s="18" t="n">
        <v>76650</v>
      </c>
      <c r="F13" s="18" t="n">
        <v>76721</v>
      </c>
      <c r="G13" s="17" t="n">
        <f aca="false">(F13-E13)/30</f>
        <v>2.36666666666667</v>
      </c>
      <c r="H13" s="10"/>
    </row>
    <row r="14" customFormat="false" ht="12.8" hidden="false" customHeight="false" outlineLevel="0" collapsed="false">
      <c r="A14" s="10" t="n">
        <v>2</v>
      </c>
      <c r="B14" s="11"/>
      <c r="C14" s="17" t="n">
        <f aca="false">(E14-D14)/30</f>
        <v>5.96666666666667</v>
      </c>
      <c r="D14" s="18" t="n">
        <v>104304</v>
      </c>
      <c r="E14" s="18" t="n">
        <v>104483</v>
      </c>
      <c r="F14" s="18" t="n">
        <v>104603</v>
      </c>
      <c r="G14" s="17" t="n">
        <f aca="false">(F14-E14)/30</f>
        <v>4</v>
      </c>
      <c r="H14" s="10"/>
    </row>
    <row r="15" customFormat="false" ht="12.8" hidden="false" customHeight="false" outlineLevel="0" collapsed="false">
      <c r="A15" s="10" t="n">
        <v>2</v>
      </c>
      <c r="B15" s="11"/>
      <c r="C15" s="17" t="n">
        <f aca="false">(E15-D15)/30</f>
        <v>5.36666666666667</v>
      </c>
      <c r="D15" s="18" t="n">
        <v>104430</v>
      </c>
      <c r="E15" s="18" t="n">
        <v>104591</v>
      </c>
      <c r="F15" s="18" t="n">
        <v>104670</v>
      </c>
      <c r="G15" s="17" t="n">
        <f aca="false">(F15-E15)/30</f>
        <v>2.63333333333333</v>
      </c>
      <c r="H15" s="10"/>
    </row>
    <row r="16" customFormat="false" ht="12.8" hidden="false" customHeight="false" outlineLevel="0" collapsed="false">
      <c r="A16" s="10" t="n">
        <v>2</v>
      </c>
      <c r="B16" s="11"/>
      <c r="C16" s="17" t="n">
        <f aca="false">(E16-D16)/30</f>
        <v>7.03333333333333</v>
      </c>
      <c r="D16" s="18" t="n">
        <v>104589</v>
      </c>
      <c r="E16" s="18" t="n">
        <v>104800</v>
      </c>
      <c r="F16" s="18" t="n">
        <v>104920</v>
      </c>
      <c r="G16" s="17" t="n">
        <f aca="false">(F16-E16)/30</f>
        <v>4</v>
      </c>
      <c r="H16" s="10"/>
    </row>
    <row r="17" customFormat="false" ht="12.8" hidden="false" customHeight="false" outlineLevel="0" collapsed="false">
      <c r="A17" s="10" t="n">
        <v>2</v>
      </c>
      <c r="B17" s="11"/>
      <c r="C17" s="17" t="n">
        <f aca="false">(E17-D17)/30</f>
        <v>6.7</v>
      </c>
      <c r="D17" s="18" t="n">
        <v>113420</v>
      </c>
      <c r="E17" s="18" t="n">
        <v>113621</v>
      </c>
      <c r="F17" s="18" t="n">
        <v>113703</v>
      </c>
      <c r="G17" s="17" t="n">
        <f aca="false">(F17-E17)/30</f>
        <v>2.73333333333333</v>
      </c>
      <c r="H17" s="10"/>
    </row>
    <row r="18" customFormat="false" ht="12.8" hidden="false" customHeight="false" outlineLevel="0" collapsed="false">
      <c r="A18" s="10" t="n">
        <v>2</v>
      </c>
      <c r="B18" s="11"/>
      <c r="C18" s="17" t="n">
        <f aca="false">(E18-D18)/30</f>
        <v>6.86666666666667</v>
      </c>
      <c r="D18" s="18" t="n">
        <v>113424</v>
      </c>
      <c r="E18" s="18" t="n">
        <v>113630</v>
      </c>
      <c r="F18" s="18" t="n">
        <v>113733</v>
      </c>
      <c r="G18" s="17" t="n">
        <f aca="false">(F18-E18)/30</f>
        <v>3.43333333333333</v>
      </c>
      <c r="H18" s="10"/>
    </row>
    <row r="19" customFormat="false" ht="12.8" hidden="false" customHeight="false" outlineLevel="0" collapsed="false">
      <c r="A19" s="10" t="n">
        <v>2</v>
      </c>
      <c r="B19" s="11"/>
      <c r="C19" s="17" t="n">
        <f aca="false">(E19-D19)/30</f>
        <v>3.66666666666667</v>
      </c>
      <c r="D19" s="18" t="n">
        <v>122860</v>
      </c>
      <c r="E19" s="18" t="n">
        <v>122970</v>
      </c>
      <c r="F19" s="18" t="n">
        <v>123062</v>
      </c>
      <c r="G19" s="17" t="n">
        <f aca="false">(F19-E19)/30</f>
        <v>3.06666666666667</v>
      </c>
      <c r="H19" s="10"/>
    </row>
    <row r="20" customFormat="false" ht="12.8" hidden="false" customHeight="false" outlineLevel="0" collapsed="false">
      <c r="A20" s="10" t="n">
        <v>2</v>
      </c>
      <c r="B20" s="11"/>
      <c r="C20" s="17" t="n">
        <f aca="false">(E20-D20)/30</f>
        <v>6.66666666666667</v>
      </c>
      <c r="D20" s="18" t="n">
        <v>130980</v>
      </c>
      <c r="E20" s="18" t="n">
        <v>131180</v>
      </c>
      <c r="F20" s="18" t="n">
        <v>131270</v>
      </c>
      <c r="G20" s="17" t="n">
        <f aca="false">(F20-E20)/30</f>
        <v>3</v>
      </c>
      <c r="H20" s="10"/>
    </row>
    <row r="21" customFormat="false" ht="12.8" hidden="false" customHeight="false" outlineLevel="0" collapsed="false">
      <c r="A21" s="10" t="n">
        <v>2</v>
      </c>
      <c r="B21" s="11"/>
      <c r="C21" s="17" t="n">
        <f aca="false">(E21-D21)/30</f>
        <v>6.36666666666667</v>
      </c>
      <c r="D21" s="18" t="n">
        <v>147407</v>
      </c>
      <c r="E21" s="18" t="n">
        <v>147598</v>
      </c>
      <c r="F21" s="18" t="n">
        <v>147689</v>
      </c>
      <c r="G21" s="17" t="n">
        <f aca="false">(F21-E21)/30</f>
        <v>3.03333333333333</v>
      </c>
      <c r="H21" s="10"/>
    </row>
    <row r="22" customFormat="false" ht="12.8" hidden="false" customHeight="false" outlineLevel="0" collapsed="false">
      <c r="A22" s="10" t="n">
        <v>3</v>
      </c>
      <c r="B22" s="11"/>
      <c r="C22" s="17" t="n">
        <f aca="false">(E22-D22)/30</f>
        <v>4.56666666666667</v>
      </c>
      <c r="D22" s="18" t="n">
        <v>48433</v>
      </c>
      <c r="E22" s="18" t="n">
        <v>48570</v>
      </c>
      <c r="F22" s="18" t="n">
        <v>48652</v>
      </c>
      <c r="G22" s="17" t="n">
        <f aca="false">(F22-E22)/30</f>
        <v>2.73333333333333</v>
      </c>
      <c r="H22" s="10"/>
    </row>
    <row r="23" customFormat="false" ht="12.8" hidden="false" customHeight="false" outlineLevel="0" collapsed="false">
      <c r="A23" s="10" t="n">
        <v>3</v>
      </c>
      <c r="B23" s="11" t="s">
        <v>30</v>
      </c>
      <c r="C23" s="17" t="n">
        <f aca="false">(E23-D23)/30</f>
        <v>5.03333333333333</v>
      </c>
      <c r="D23" s="18" t="n">
        <v>64475</v>
      </c>
      <c r="E23" s="18" t="n">
        <v>64626</v>
      </c>
      <c r="F23" s="18" t="n">
        <v>64760</v>
      </c>
      <c r="G23" s="17" t="n">
        <f aca="false">(F23-E23)/30</f>
        <v>4.46666666666667</v>
      </c>
      <c r="H23" s="10"/>
    </row>
    <row r="24" customFormat="false" ht="12.8" hidden="false" customHeight="false" outlineLevel="0" collapsed="false">
      <c r="A24" s="10" t="n">
        <v>3</v>
      </c>
      <c r="B24" s="11" t="s">
        <v>30</v>
      </c>
      <c r="C24" s="17" t="n">
        <f aca="false">(E24-D24)/30</f>
        <v>5.13333333333333</v>
      </c>
      <c r="D24" s="18" t="n">
        <v>64476</v>
      </c>
      <c r="E24" s="18" t="n">
        <v>64630</v>
      </c>
      <c r="F24" s="18" t="n">
        <v>64791</v>
      </c>
      <c r="G24" s="17" t="n">
        <f aca="false">(F24-E24)/30</f>
        <v>5.36666666666667</v>
      </c>
      <c r="H24" s="10"/>
    </row>
    <row r="25" customFormat="false" ht="12.8" hidden="false" customHeight="false" outlineLevel="0" collapsed="false">
      <c r="A25" s="10" t="n">
        <v>3</v>
      </c>
      <c r="B25" s="11"/>
      <c r="C25" s="17" t="n">
        <f aca="false">(E25-D25)/30</f>
        <v>5.06666666666667</v>
      </c>
      <c r="D25" s="18" t="n">
        <v>65089</v>
      </c>
      <c r="E25" s="18" t="n">
        <v>65241</v>
      </c>
      <c r="F25" s="18" t="n">
        <v>65353</v>
      </c>
      <c r="G25" s="17" t="n">
        <f aca="false">(F25-E25)/30</f>
        <v>3.73333333333333</v>
      </c>
      <c r="H25" s="10"/>
    </row>
    <row r="26" customFormat="false" ht="12.8" hidden="false" customHeight="false" outlineLevel="0" collapsed="false">
      <c r="A26" s="10" t="n">
        <v>3</v>
      </c>
      <c r="B26" s="11"/>
      <c r="C26" s="17" t="n">
        <f aca="false">(E26-D26)/30</f>
        <v>6.23333333333333</v>
      </c>
      <c r="D26" s="18" t="n">
        <v>73281</v>
      </c>
      <c r="E26" s="18" t="n">
        <v>73468</v>
      </c>
      <c r="F26" s="18" t="n">
        <v>73599</v>
      </c>
      <c r="G26" s="17" t="n">
        <f aca="false">(F26-E26)/30</f>
        <v>4.36666666666667</v>
      </c>
      <c r="H26" s="10"/>
    </row>
    <row r="27" customFormat="false" ht="12.8" hidden="false" customHeight="false" outlineLevel="0" collapsed="false">
      <c r="A27" s="10" t="n">
        <v>3</v>
      </c>
      <c r="B27" s="11"/>
      <c r="C27" s="17" t="n">
        <f aca="false">(E27-D27)/30</f>
        <v>5.26666666666667</v>
      </c>
      <c r="D27" s="18" t="n">
        <v>80763</v>
      </c>
      <c r="E27" s="18" t="n">
        <v>80921</v>
      </c>
      <c r="F27" s="18" t="n">
        <v>81056</v>
      </c>
      <c r="G27" s="17" t="n">
        <f aca="false">(F27-E27)/30</f>
        <v>4.5</v>
      </c>
      <c r="H27" s="10"/>
    </row>
    <row r="28" customFormat="false" ht="12.8" hidden="false" customHeight="false" outlineLevel="0" collapsed="false">
      <c r="A28" s="10" t="n">
        <v>3</v>
      </c>
      <c r="B28" s="11"/>
      <c r="C28" s="17" t="n">
        <f aca="false">(E28-D28)/30</f>
        <v>5.1</v>
      </c>
      <c r="D28" s="18" t="n">
        <v>81016</v>
      </c>
      <c r="E28" s="18" t="n">
        <v>81169</v>
      </c>
      <c r="F28" s="18" t="n">
        <v>81239</v>
      </c>
      <c r="G28" s="17" t="n">
        <f aca="false">(F28-E28)/30</f>
        <v>2.33333333333333</v>
      </c>
      <c r="H28" s="10"/>
    </row>
    <row r="29" customFormat="false" ht="12.8" hidden="false" customHeight="false" outlineLevel="0" collapsed="false">
      <c r="A29" s="10" t="n">
        <v>3</v>
      </c>
      <c r="B29" s="11"/>
      <c r="C29" s="17" t="n">
        <f aca="false">(E29-D29)/30</f>
        <v>8.33333333333333</v>
      </c>
      <c r="D29" s="18" t="n">
        <v>90700</v>
      </c>
      <c r="E29" s="18" t="n">
        <v>90950</v>
      </c>
      <c r="F29" s="18" t="n">
        <v>91093</v>
      </c>
      <c r="G29" s="17" t="n">
        <f aca="false">(F29-E29)/30</f>
        <v>4.76666666666667</v>
      </c>
      <c r="H29" s="10"/>
    </row>
    <row r="30" customFormat="false" ht="12.8" hidden="false" customHeight="false" outlineLevel="0" collapsed="false">
      <c r="A30" s="10" t="n">
        <v>3</v>
      </c>
      <c r="B30" s="11"/>
      <c r="C30" s="17" t="n">
        <f aca="false">(E30-D30)/30</f>
        <v>3.9</v>
      </c>
      <c r="D30" s="18" t="n">
        <v>109697</v>
      </c>
      <c r="E30" s="18" t="n">
        <v>109814</v>
      </c>
      <c r="F30" s="18" t="n">
        <v>109919</v>
      </c>
      <c r="G30" s="17" t="n">
        <f aca="false">(F30-E30)/30</f>
        <v>3.5</v>
      </c>
      <c r="H30" s="10"/>
    </row>
    <row r="31" customFormat="false" ht="12.8" hidden="false" customHeight="false" outlineLevel="0" collapsed="false">
      <c r="A31" s="10" t="n">
        <v>3</v>
      </c>
      <c r="B31" s="11"/>
      <c r="C31" s="17" t="n">
        <f aca="false">(E31-D31)/30</f>
        <v>8.2</v>
      </c>
      <c r="D31" s="18" t="n">
        <v>126175</v>
      </c>
      <c r="E31" s="18" t="n">
        <v>126421</v>
      </c>
      <c r="F31" s="18" t="n">
        <v>126497</v>
      </c>
      <c r="G31" s="17" t="n">
        <f aca="false">(F31-E31)/30</f>
        <v>2.53333333333333</v>
      </c>
      <c r="H31" s="10"/>
    </row>
    <row r="32" customFormat="false" ht="12.8" hidden="false" customHeight="false" outlineLevel="0" collapsed="false">
      <c r="A32" s="10" t="n">
        <v>3</v>
      </c>
      <c r="B32" s="11"/>
      <c r="C32" s="17" t="n">
        <f aca="false">(E32-D32)/30</f>
        <v>6.36666666666667</v>
      </c>
      <c r="D32" s="18" t="n">
        <v>126280</v>
      </c>
      <c r="E32" s="18" t="n">
        <v>126471</v>
      </c>
      <c r="F32" s="18" t="n">
        <v>126558</v>
      </c>
      <c r="G32" s="17" t="n">
        <f aca="false">(F32-E32)/30</f>
        <v>2.9</v>
      </c>
      <c r="H32" s="10"/>
    </row>
    <row r="33" customFormat="false" ht="12.8" hidden="false" customHeight="false" outlineLevel="0" collapsed="false">
      <c r="A33" s="10" t="n">
        <v>4</v>
      </c>
      <c r="B33" s="11"/>
      <c r="C33" s="17" t="n">
        <f aca="false">(E33-D33)/30</f>
        <v>3</v>
      </c>
      <c r="D33" s="18" t="n">
        <v>8995</v>
      </c>
      <c r="E33" s="18" t="n">
        <v>9085</v>
      </c>
      <c r="F33" s="18" t="n">
        <v>9140</v>
      </c>
      <c r="G33" s="17" t="n">
        <f aca="false">(F33-E33)/30</f>
        <v>1.83333333333333</v>
      </c>
      <c r="H33" s="10"/>
    </row>
    <row r="34" customFormat="false" ht="12.8" hidden="false" customHeight="false" outlineLevel="0" collapsed="false">
      <c r="A34" s="10" t="n">
        <v>4</v>
      </c>
      <c r="B34" s="11"/>
      <c r="C34" s="17" t="n">
        <f aca="false">(E34-D34)/30</f>
        <v>3.83333333333333</v>
      </c>
      <c r="D34" s="18" t="n">
        <v>24826</v>
      </c>
      <c r="E34" s="18" t="n">
        <v>24941</v>
      </c>
      <c r="F34" s="18" t="n">
        <v>25014</v>
      </c>
      <c r="G34" s="17" t="n">
        <f aca="false">(F34-E34)/30</f>
        <v>2.43333333333333</v>
      </c>
      <c r="H34" s="10"/>
    </row>
    <row r="35" customFormat="false" ht="12.8" hidden="false" customHeight="false" outlineLevel="0" collapsed="false">
      <c r="A35" s="10" t="n">
        <v>4</v>
      </c>
      <c r="B35" s="11"/>
      <c r="C35" s="17" t="n">
        <f aca="false">(E35-D35)/30</f>
        <v>7.66666666666667</v>
      </c>
      <c r="D35" s="18" t="n">
        <v>25610</v>
      </c>
      <c r="E35" s="18" t="n">
        <v>25840</v>
      </c>
      <c r="F35" s="18" t="n">
        <v>25932</v>
      </c>
      <c r="G35" s="17" t="n">
        <f aca="false">(F35-E35)/30</f>
        <v>3.06666666666667</v>
      </c>
      <c r="H35" s="10"/>
    </row>
    <row r="36" customFormat="false" ht="12.8" hidden="false" customHeight="false" outlineLevel="0" collapsed="false">
      <c r="A36" s="10" t="n">
        <v>4</v>
      </c>
      <c r="B36" s="11"/>
      <c r="C36" s="17" t="n">
        <f aca="false">(E36-D36)/30</f>
        <v>6.76666666666667</v>
      </c>
      <c r="D36" s="18" t="n">
        <v>25691</v>
      </c>
      <c r="E36" s="18" t="n">
        <v>25894</v>
      </c>
      <c r="F36" s="18" t="n">
        <v>25990</v>
      </c>
      <c r="G36" s="17" t="n">
        <f aca="false">(F36-E36)/30</f>
        <v>3.2</v>
      </c>
      <c r="H36" s="10"/>
    </row>
    <row r="37" customFormat="false" ht="12.8" hidden="false" customHeight="false" outlineLevel="0" collapsed="false">
      <c r="A37" s="10" t="n">
        <v>4</v>
      </c>
      <c r="B37" s="11"/>
      <c r="C37" s="17" t="n">
        <f aca="false">(E37-D37)/30</f>
        <v>7.26666666666667</v>
      </c>
      <c r="D37" s="18" t="n">
        <v>25717</v>
      </c>
      <c r="E37" s="18" t="n">
        <v>25935</v>
      </c>
      <c r="F37" s="18" t="n">
        <v>26027</v>
      </c>
      <c r="G37" s="17" t="n">
        <f aca="false">(F37-E37)/30</f>
        <v>3.06666666666667</v>
      </c>
      <c r="H37" s="10"/>
    </row>
    <row r="38" customFormat="false" ht="12.8" hidden="false" customHeight="false" outlineLevel="0" collapsed="false">
      <c r="A38" s="10" t="n">
        <v>4</v>
      </c>
      <c r="B38" s="11" t="s">
        <v>30</v>
      </c>
      <c r="C38" s="17" t="n">
        <f aca="false">(E38-D38)/30</f>
        <v>7.73333333333333</v>
      </c>
      <c r="D38" s="18" t="n">
        <v>34910</v>
      </c>
      <c r="E38" s="18" t="n">
        <v>35142</v>
      </c>
      <c r="F38" s="18" t="n">
        <v>35292</v>
      </c>
      <c r="G38" s="17" t="n">
        <f aca="false">(F38-E38)/30</f>
        <v>5</v>
      </c>
      <c r="H38" s="10"/>
    </row>
    <row r="39" customFormat="false" ht="12.8" hidden="false" customHeight="false" outlineLevel="0" collapsed="false">
      <c r="A39" s="10" t="n">
        <v>4</v>
      </c>
      <c r="B39" s="11"/>
      <c r="C39" s="17" t="n">
        <f aca="false">(E39-D39)/30</f>
        <v>11.9</v>
      </c>
      <c r="D39" s="18" t="n">
        <v>43224</v>
      </c>
      <c r="E39" s="18" t="n">
        <v>43581</v>
      </c>
      <c r="F39" s="18" t="n">
        <v>43793</v>
      </c>
      <c r="G39" s="17" t="n">
        <f aca="false">(F39-E39)/30</f>
        <v>7.06666666666667</v>
      </c>
      <c r="H39" s="10"/>
    </row>
    <row r="40" customFormat="false" ht="12.8" hidden="false" customHeight="false" outlineLevel="0" collapsed="false">
      <c r="A40" s="10" t="n">
        <v>4</v>
      </c>
      <c r="B40" s="11"/>
      <c r="C40" s="17" t="n">
        <f aca="false">(E40-D40)/30</f>
        <v>12.7333333333333</v>
      </c>
      <c r="D40" s="18" t="n">
        <v>43300</v>
      </c>
      <c r="E40" s="18" t="n">
        <v>43682</v>
      </c>
      <c r="F40" s="18" t="n">
        <v>43820</v>
      </c>
      <c r="G40" s="17" t="n">
        <f aca="false">(F40-E40)/30</f>
        <v>4.6</v>
      </c>
      <c r="H40" s="10"/>
    </row>
    <row r="41" customFormat="false" ht="12.8" hidden="false" customHeight="false" outlineLevel="0" collapsed="false">
      <c r="A41" s="10" t="n">
        <v>4</v>
      </c>
      <c r="B41" s="11"/>
      <c r="C41" s="17" t="n">
        <f aca="false">(E41-D41)/30</f>
        <v>13.5666666666667</v>
      </c>
      <c r="D41" s="18" t="n">
        <v>43330</v>
      </c>
      <c r="E41" s="18" t="n">
        <v>43737</v>
      </c>
      <c r="F41" s="18" t="n">
        <v>43844</v>
      </c>
      <c r="G41" s="17" t="n">
        <f aca="false">(F41-E41)/30</f>
        <v>3.56666666666667</v>
      </c>
      <c r="H41" s="10"/>
    </row>
    <row r="42" customFormat="false" ht="12.8" hidden="false" customHeight="false" outlineLevel="0" collapsed="false">
      <c r="A42" s="10" t="n">
        <v>4</v>
      </c>
      <c r="B42" s="11"/>
      <c r="C42" s="17" t="n">
        <f aca="false">(E42-D42)/30</f>
        <v>14.1</v>
      </c>
      <c r="D42" s="18" t="n">
        <v>43335</v>
      </c>
      <c r="E42" s="18" t="n">
        <v>43758</v>
      </c>
      <c r="F42" s="18" t="n">
        <v>43860</v>
      </c>
      <c r="G42" s="17" t="n">
        <f aca="false">(F42-E42)/30</f>
        <v>3.4</v>
      </c>
      <c r="H42" s="10"/>
    </row>
    <row r="43" customFormat="false" ht="12.8" hidden="false" customHeight="false" outlineLevel="0" collapsed="false">
      <c r="A43" s="10" t="n">
        <v>4</v>
      </c>
      <c r="B43" s="11"/>
      <c r="C43" s="17" t="n">
        <f aca="false">(E43-D43)/30</f>
        <v>3.2</v>
      </c>
      <c r="D43" s="18" t="n">
        <v>59905</v>
      </c>
      <c r="E43" s="18" t="n">
        <v>60001</v>
      </c>
      <c r="F43" s="18" t="n">
        <v>60068</v>
      </c>
      <c r="G43" s="17" t="n">
        <f aca="false">(F43-E43)/30</f>
        <v>2.23333333333333</v>
      </c>
      <c r="H43" s="10"/>
    </row>
    <row r="44" customFormat="false" ht="12.8" hidden="false" customHeight="false" outlineLevel="0" collapsed="false">
      <c r="A44" s="10" t="n">
        <v>4</v>
      </c>
      <c r="B44" s="11"/>
      <c r="C44" s="17" t="n">
        <f aca="false">(E44-D44)/30</f>
        <v>9.16666666666667</v>
      </c>
      <c r="D44" s="18" t="n">
        <v>60275</v>
      </c>
      <c r="E44" s="18" t="n">
        <v>60550</v>
      </c>
      <c r="F44" s="18" t="n">
        <v>60687</v>
      </c>
      <c r="G44" s="17" t="n">
        <f aca="false">(F44-E44)/30</f>
        <v>4.56666666666667</v>
      </c>
      <c r="H44" s="10"/>
    </row>
    <row r="45" customFormat="false" ht="12.8" hidden="false" customHeight="false" outlineLevel="0" collapsed="false">
      <c r="A45" s="10" t="n">
        <v>4</v>
      </c>
      <c r="B45" s="11"/>
      <c r="C45" s="17" t="n">
        <f aca="false">(E45-D45)/30</f>
        <v>6.8</v>
      </c>
      <c r="D45" s="18" t="n">
        <v>60380</v>
      </c>
      <c r="E45" s="18" t="n">
        <v>60584</v>
      </c>
      <c r="F45" s="18" t="n">
        <v>60704</v>
      </c>
      <c r="G45" s="17" t="n">
        <f aca="false">(F45-E45)/30</f>
        <v>4</v>
      </c>
      <c r="H45" s="10"/>
    </row>
    <row r="46" customFormat="false" ht="12.8" hidden="false" customHeight="false" outlineLevel="0" collapsed="false">
      <c r="A46" s="10" t="n">
        <v>4</v>
      </c>
      <c r="B46" s="11"/>
      <c r="C46" s="17" t="n">
        <f aca="false">(E46-D46)/30</f>
        <v>7.6</v>
      </c>
      <c r="D46" s="18" t="n">
        <v>60390</v>
      </c>
      <c r="E46" s="18" t="n">
        <v>60618</v>
      </c>
      <c r="F46" s="18" t="n">
        <v>60727</v>
      </c>
      <c r="G46" s="17" t="n">
        <f aca="false">(F46-E46)/30</f>
        <v>3.63333333333333</v>
      </c>
      <c r="H46" s="10"/>
    </row>
    <row r="47" customFormat="false" ht="12.8" hidden="false" customHeight="false" outlineLevel="0" collapsed="false">
      <c r="A47" s="10" t="n">
        <v>4</v>
      </c>
      <c r="B47" s="12" t="s">
        <v>26</v>
      </c>
      <c r="C47" s="17" t="n">
        <f aca="false">(E47-D47)/30</f>
        <v>5.13333333333333</v>
      </c>
      <c r="D47" s="18" t="n">
        <v>60647</v>
      </c>
      <c r="E47" s="18" t="n">
        <v>60801</v>
      </c>
      <c r="F47" s="18"/>
      <c r="G47" s="17" t="n">
        <f aca="false">(F47-E47)/30</f>
        <v>-2026.7</v>
      </c>
      <c r="H47" s="10"/>
    </row>
    <row r="48" customFormat="false" ht="12.8" hidden="false" customHeight="false" outlineLevel="0" collapsed="false">
      <c r="A48" s="10" t="n">
        <v>4</v>
      </c>
      <c r="B48" s="11"/>
      <c r="C48" s="17" t="n">
        <f aca="false">(E48-D48)/30</f>
        <v>6.03333333333333</v>
      </c>
      <c r="D48" s="18" t="n">
        <v>75019</v>
      </c>
      <c r="E48" s="18" t="n">
        <v>75200</v>
      </c>
      <c r="F48" s="18" t="n">
        <v>75278</v>
      </c>
      <c r="G48" s="17" t="n">
        <f aca="false">(F48-E48)/30</f>
        <v>2.6</v>
      </c>
      <c r="H48" s="10"/>
    </row>
    <row r="49" customFormat="false" ht="12.8" hidden="false" customHeight="false" outlineLevel="0" collapsed="false">
      <c r="A49" s="10" t="n">
        <v>4</v>
      </c>
      <c r="B49" s="11"/>
      <c r="C49" s="17" t="n">
        <f aca="false">(E49-D49)/30</f>
        <v>6.73333333333333</v>
      </c>
      <c r="D49" s="18" t="n">
        <v>91078</v>
      </c>
      <c r="E49" s="18" t="n">
        <v>91280</v>
      </c>
      <c r="F49" s="18" t="n">
        <v>91380</v>
      </c>
      <c r="G49" s="17" t="n">
        <f aca="false">(F49-E49)/30</f>
        <v>3.33333333333333</v>
      </c>
      <c r="H49" s="10"/>
    </row>
    <row r="50" customFormat="false" ht="12.8" hidden="false" customHeight="false" outlineLevel="0" collapsed="false">
      <c r="A50" s="10" t="n">
        <v>4</v>
      </c>
      <c r="B50" s="12" t="s">
        <v>26</v>
      </c>
      <c r="C50" s="17" t="n">
        <f aca="false">(E50-D50)/30</f>
        <v>7.43333333333333</v>
      </c>
      <c r="D50" s="18" t="n">
        <v>91670</v>
      </c>
      <c r="E50" s="18" t="n">
        <v>91893</v>
      </c>
      <c r="F50" s="18"/>
      <c r="G50" s="17" t="n">
        <f aca="false">(F50-E50)/30</f>
        <v>-3063.1</v>
      </c>
      <c r="H50" s="10"/>
    </row>
    <row r="51" customFormat="false" ht="12.8" hidden="false" customHeight="false" outlineLevel="0" collapsed="false">
      <c r="A51" s="10" t="n">
        <v>5</v>
      </c>
      <c r="B51" s="11"/>
      <c r="C51" s="17" t="n">
        <f aca="false">(E51-D51)/30</f>
        <v>7.13333333333333</v>
      </c>
      <c r="D51" s="18" t="n">
        <v>27472</v>
      </c>
      <c r="E51" s="18" t="n">
        <v>27686</v>
      </c>
      <c r="F51" s="18" t="n">
        <v>27829</v>
      </c>
      <c r="G51" s="17" t="n">
        <f aca="false">(F51-E51)/30</f>
        <v>4.76666666666667</v>
      </c>
      <c r="H51" s="10"/>
    </row>
    <row r="52" customFormat="false" ht="12.8" hidden="false" customHeight="false" outlineLevel="0" collapsed="false">
      <c r="A52" s="10" t="n">
        <v>5</v>
      </c>
      <c r="B52" s="11"/>
      <c r="C52" s="17" t="n">
        <f aca="false">(E52-D52)/30</f>
        <v>5.66666666666667</v>
      </c>
      <c r="D52" s="18" t="n">
        <v>27870</v>
      </c>
      <c r="E52" s="18" t="n">
        <v>28040</v>
      </c>
      <c r="F52" s="18" t="n">
        <v>28130</v>
      </c>
      <c r="G52" s="17" t="n">
        <f aca="false">(F52-E52)/30</f>
        <v>3</v>
      </c>
      <c r="H52" s="10"/>
    </row>
    <row r="53" customFormat="false" ht="12.8" hidden="false" customHeight="false" outlineLevel="0" collapsed="false">
      <c r="A53" s="10" t="n">
        <v>5</v>
      </c>
      <c r="B53" s="11"/>
      <c r="C53" s="17" t="n">
        <f aca="false">(E53-D53)/30</f>
        <v>4.13333333333333</v>
      </c>
      <c r="D53" s="18" t="n">
        <v>38968</v>
      </c>
      <c r="E53" s="18" t="n">
        <v>39092</v>
      </c>
      <c r="F53" s="18" t="n">
        <v>39198</v>
      </c>
      <c r="G53" s="17" t="n">
        <f aca="false">(F53-E53)/30</f>
        <v>3.53333333333333</v>
      </c>
      <c r="H53" s="10"/>
    </row>
    <row r="54" customFormat="false" ht="12.8" hidden="false" customHeight="false" outlineLevel="0" collapsed="false">
      <c r="A54" s="10" t="n">
        <v>5</v>
      </c>
      <c r="B54" s="11"/>
      <c r="C54" s="17" t="n">
        <f aca="false">(E54-D54)/30</f>
        <v>4.1</v>
      </c>
      <c r="D54" s="18" t="n">
        <v>39000</v>
      </c>
      <c r="E54" s="18" t="n">
        <v>39123</v>
      </c>
      <c r="F54" s="18" t="n">
        <v>39225</v>
      </c>
      <c r="G54" s="17" t="n">
        <f aca="false">(F54-E54)/30</f>
        <v>3.4</v>
      </c>
      <c r="H54" s="10"/>
    </row>
    <row r="55" customFormat="false" ht="12.8" hidden="false" customHeight="false" outlineLevel="0" collapsed="false">
      <c r="A55" s="10" t="n">
        <v>5</v>
      </c>
      <c r="B55" s="11"/>
      <c r="C55" s="17" t="n">
        <f aca="false">(E55-D55)/30</f>
        <v>7.33333333333333</v>
      </c>
      <c r="D55" s="18" t="n">
        <v>56748</v>
      </c>
      <c r="E55" s="18" t="n">
        <v>56968</v>
      </c>
      <c r="F55" s="18" t="n">
        <v>57109</v>
      </c>
      <c r="G55" s="17" t="n">
        <f aca="false">(F55-E55)/30</f>
        <v>4.7</v>
      </c>
      <c r="H55" s="10"/>
    </row>
    <row r="56" customFormat="false" ht="12.8" hidden="false" customHeight="false" outlineLevel="0" collapsed="false">
      <c r="A56" s="10" t="n">
        <v>5</v>
      </c>
      <c r="B56" s="11"/>
      <c r="C56" s="17" t="n">
        <f aca="false">(E56-D56)/30</f>
        <v>8.16666666666667</v>
      </c>
      <c r="D56" s="18" t="n">
        <v>81339</v>
      </c>
      <c r="E56" s="18" t="n">
        <v>81584</v>
      </c>
      <c r="F56" s="18" t="n">
        <v>81750</v>
      </c>
      <c r="G56" s="17" t="n">
        <f aca="false">(F56-E56)/30</f>
        <v>5.53333333333333</v>
      </c>
      <c r="H56" s="10"/>
    </row>
    <row r="57" customFormat="false" ht="12.8" hidden="false" customHeight="false" outlineLevel="0" collapsed="false">
      <c r="A57" s="10" t="n">
        <v>5</v>
      </c>
      <c r="B57" s="11"/>
      <c r="C57" s="17" t="n">
        <f aca="false">(E57-D57)/30</f>
        <v>9</v>
      </c>
      <c r="D57" s="18" t="n">
        <v>82420</v>
      </c>
      <c r="E57" s="18" t="n">
        <v>82690</v>
      </c>
      <c r="F57" s="18" t="n">
        <v>82797</v>
      </c>
      <c r="G57" s="17" t="n">
        <f aca="false">(F57-E57)/30</f>
        <v>3.56666666666667</v>
      </c>
      <c r="H57" s="10"/>
    </row>
    <row r="58" customFormat="false" ht="12.8" hidden="false" customHeight="false" outlineLevel="0" collapsed="false">
      <c r="A58" s="10" t="n">
        <v>5</v>
      </c>
      <c r="B58" s="11"/>
      <c r="C58" s="17" t="n">
        <f aca="false">(E58-D58)/30</f>
        <v>5.73333333333333</v>
      </c>
      <c r="D58" s="18" t="n">
        <v>83248</v>
      </c>
      <c r="E58" s="18" t="n">
        <v>83420</v>
      </c>
      <c r="F58" s="18" t="n">
        <v>83487</v>
      </c>
      <c r="G58" s="17" t="n">
        <f aca="false">(F58-E58)/30</f>
        <v>2.23333333333333</v>
      </c>
      <c r="H58" s="10"/>
    </row>
    <row r="59" customFormat="false" ht="12.8" hidden="false" customHeight="false" outlineLevel="0" collapsed="false">
      <c r="A59" s="10" t="n">
        <v>5</v>
      </c>
      <c r="B59" s="11"/>
      <c r="C59" s="17" t="n">
        <f aca="false">(E59-D59)/30</f>
        <v>3.76666666666667</v>
      </c>
      <c r="D59" s="18" t="n">
        <v>91437</v>
      </c>
      <c r="E59" s="18" t="n">
        <v>91550</v>
      </c>
      <c r="F59" s="18" t="n">
        <v>91635</v>
      </c>
      <c r="G59" s="17" t="n">
        <f aca="false">(F59-E59)/30</f>
        <v>2.83333333333333</v>
      </c>
      <c r="H59" s="10"/>
    </row>
    <row r="60" customFormat="false" ht="12.8" hidden="false" customHeight="false" outlineLevel="0" collapsed="false">
      <c r="A60" s="10" t="n">
        <v>5</v>
      </c>
      <c r="B60" s="11" t="s">
        <v>31</v>
      </c>
      <c r="C60" s="17" t="n">
        <f aca="false">(E60-D60)/30</f>
        <v>6.56666666666667</v>
      </c>
      <c r="D60" s="18" t="n">
        <v>99815</v>
      </c>
      <c r="E60" s="18" t="n">
        <v>100012</v>
      </c>
      <c r="F60" s="18" t="n">
        <v>100334</v>
      </c>
      <c r="G60" s="17" t="n">
        <f aca="false">(F60-E60)/30</f>
        <v>10.7333333333333</v>
      </c>
      <c r="H60" s="10"/>
    </row>
    <row r="61" customFormat="false" ht="12.8" hidden="false" customHeight="false" outlineLevel="0" collapsed="false">
      <c r="A61" s="10" t="n">
        <v>5</v>
      </c>
      <c r="B61" s="11"/>
      <c r="C61" s="17" t="n">
        <f aca="false">(E61-D61)/30</f>
        <v>7.63333333333333</v>
      </c>
      <c r="D61" s="18" t="n">
        <v>101528</v>
      </c>
      <c r="E61" s="18" t="n">
        <v>101757</v>
      </c>
      <c r="F61" s="18" t="n">
        <v>101829</v>
      </c>
      <c r="G61" s="17" t="n">
        <f aca="false">(F61-E61)/30</f>
        <v>2.4</v>
      </c>
      <c r="H61" s="10"/>
    </row>
    <row r="62" customFormat="false" ht="12.8" hidden="false" customHeight="false" outlineLevel="0" collapsed="false">
      <c r="A62" s="10" t="n">
        <v>5</v>
      </c>
      <c r="B62" s="12" t="s">
        <v>26</v>
      </c>
      <c r="C62" s="17" t="e">
        <f aca="false">(E62-D62)/30</f>
        <v>#VALUE!</v>
      </c>
      <c r="D62" s="18" t="n">
        <v>101710</v>
      </c>
      <c r="E62" s="18" t="s">
        <v>32</v>
      </c>
      <c r="F62" s="18"/>
      <c r="G62" s="17" t="e">
        <f aca="false">(F62-E62)/30</f>
        <v>#VALUE!</v>
      </c>
      <c r="H62" s="10"/>
    </row>
    <row r="63" customFormat="false" ht="12.8" hidden="false" customHeight="false" outlineLevel="0" collapsed="false">
      <c r="A63" s="10" t="n">
        <v>5</v>
      </c>
      <c r="B63" s="11"/>
      <c r="C63" s="17" t="n">
        <f aca="false">(E63-D63)/30</f>
        <v>4.23333333333333</v>
      </c>
      <c r="D63" s="18" t="n">
        <v>109228</v>
      </c>
      <c r="E63" s="18" t="n">
        <v>109355</v>
      </c>
      <c r="F63" s="18" t="n">
        <v>109442</v>
      </c>
      <c r="G63" s="17" t="n">
        <f aca="false">(F63-E63)/30</f>
        <v>2.9</v>
      </c>
      <c r="H63" s="10"/>
    </row>
    <row r="64" customFormat="false" ht="12.8" hidden="false" customHeight="false" outlineLevel="0" collapsed="false">
      <c r="A64" s="10" t="n">
        <v>5</v>
      </c>
      <c r="B64" s="11"/>
      <c r="C64" s="17" t="n">
        <f aca="false">(E64-D64)/30</f>
        <v>3.6</v>
      </c>
      <c r="D64" s="18" t="n">
        <v>109280</v>
      </c>
      <c r="E64" s="18" t="n">
        <v>109388</v>
      </c>
      <c r="F64" s="18" t="n">
        <v>109469</v>
      </c>
      <c r="G64" s="17" t="n">
        <f aca="false">(F64-E64)/30</f>
        <v>2.7</v>
      </c>
      <c r="H64" s="10"/>
    </row>
    <row r="65" customFormat="false" ht="12.8" hidden="false" customHeight="false" outlineLevel="0" collapsed="false">
      <c r="A65" s="10" t="n">
        <v>5</v>
      </c>
      <c r="B65" s="11"/>
      <c r="C65" s="17" t="n">
        <f aca="false">(E65-D65)/30</f>
        <v>6.23333333333333</v>
      </c>
      <c r="D65" s="18" t="n">
        <v>110170</v>
      </c>
      <c r="E65" s="18" t="n">
        <v>110357</v>
      </c>
      <c r="F65" s="18" t="n">
        <v>110425</v>
      </c>
      <c r="G65" s="17" t="n">
        <f aca="false">(F65-E65)/30</f>
        <v>2.26666666666667</v>
      </c>
      <c r="H65" s="10"/>
    </row>
    <row r="66" customFormat="false" ht="12.8" hidden="false" customHeight="false" outlineLevel="0" collapsed="false">
      <c r="A66" s="10" t="n">
        <v>5</v>
      </c>
      <c r="B66" s="10"/>
      <c r="C66" s="17" t="n">
        <f aca="false">(E66-D66)/30</f>
        <v>8.23333333333333</v>
      </c>
      <c r="D66" s="20" t="n">
        <v>111678</v>
      </c>
      <c r="E66" s="20" t="n">
        <v>111925</v>
      </c>
      <c r="F66" s="20" t="n">
        <v>112040</v>
      </c>
      <c r="G66" s="17" t="n">
        <f aca="false">(F66-E66)/30</f>
        <v>3.83333333333333</v>
      </c>
      <c r="H66" s="10"/>
    </row>
    <row r="67" customFormat="false" ht="12.8" hidden="false" customHeight="false" outlineLevel="0" collapsed="false">
      <c r="A67" s="10" t="n">
        <v>5</v>
      </c>
      <c r="B67" s="10"/>
      <c r="C67" s="17" t="n">
        <f aca="false">(E67-D67)/30</f>
        <v>6.26666666666667</v>
      </c>
      <c r="D67" s="20" t="n">
        <v>111852</v>
      </c>
      <c r="E67" s="20" t="n">
        <v>112040</v>
      </c>
      <c r="F67" s="20" t="n">
        <v>112134</v>
      </c>
      <c r="G67" s="17" t="n">
        <f aca="false">(F67-E67)/30</f>
        <v>3.13333333333333</v>
      </c>
      <c r="H67" s="10"/>
    </row>
    <row r="68" customFormat="false" ht="12.8" hidden="false" customHeight="false" outlineLevel="0" collapsed="false">
      <c r="A68" s="10" t="n">
        <v>5</v>
      </c>
      <c r="B68" s="10"/>
      <c r="C68" s="17" t="n">
        <f aca="false">(E68-D68)/30</f>
        <v>3.8</v>
      </c>
      <c r="D68" s="20" t="n">
        <v>137876</v>
      </c>
      <c r="E68" s="20" t="n">
        <v>137990</v>
      </c>
      <c r="F68" s="20" t="n">
        <v>138056</v>
      </c>
      <c r="G68" s="17" t="n">
        <f aca="false">(F68-E68)/30</f>
        <v>2.2</v>
      </c>
      <c r="H68" s="10"/>
    </row>
    <row r="69" customFormat="false" ht="12.8" hidden="false" customHeight="false" outlineLevel="0" collapsed="false">
      <c r="A69" s="10" t="n">
        <v>5</v>
      </c>
      <c r="B69" s="10"/>
      <c r="C69" s="17" t="n">
        <f aca="false">(E69-D69)/30</f>
        <v>5.66666666666667</v>
      </c>
      <c r="D69" s="20" t="n">
        <v>148206</v>
      </c>
      <c r="E69" s="20" t="n">
        <v>148376</v>
      </c>
      <c r="F69" s="20" t="n">
        <v>148476</v>
      </c>
      <c r="G69" s="17" t="n">
        <f aca="false">(F69-E69)/30</f>
        <v>3.33333333333333</v>
      </c>
      <c r="H69" s="10"/>
    </row>
    <row r="70" customFormat="false" ht="12.8" hidden="false" customHeight="false" outlineLevel="0" collapsed="false">
      <c r="A70" s="10" t="n">
        <v>5</v>
      </c>
      <c r="B70" s="10"/>
      <c r="C70" s="17" t="n">
        <f aca="false">(E70-D70)/30</f>
        <v>4.63333333333333</v>
      </c>
      <c r="D70" s="20" t="n">
        <v>148370</v>
      </c>
      <c r="E70" s="20" t="n">
        <v>148509</v>
      </c>
      <c r="F70" s="20" t="n">
        <v>148580</v>
      </c>
      <c r="G70" s="17" t="n">
        <f aca="false">(F70-E70)/30</f>
        <v>2.36666666666667</v>
      </c>
      <c r="H70" s="10"/>
    </row>
    <row r="71" customFormat="false" ht="12.8" hidden="false" customHeight="false" outlineLevel="0" collapsed="false">
      <c r="A71" s="10" t="n">
        <v>5</v>
      </c>
      <c r="B71" s="10"/>
      <c r="C71" s="17" t="n">
        <f aca="false">(E71-D71)/30</f>
        <v>8.03333333333333</v>
      </c>
      <c r="D71" s="20" t="n">
        <v>155891</v>
      </c>
      <c r="E71" s="20" t="n">
        <v>156132</v>
      </c>
      <c r="F71" s="20" t="n">
        <v>156320</v>
      </c>
      <c r="G71" s="17" t="n">
        <f aca="false">(F71-E71)/30</f>
        <v>6.26666666666667</v>
      </c>
      <c r="H71" s="19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A1:G6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8.39"/>
    <col collapsed="false" customWidth="true" hidden="false" outlineLevel="0" max="3" min="3" style="0" width="9.36"/>
    <col collapsed="false" customWidth="true" hidden="false" outlineLevel="0" max="5" min="4" style="0" width="13.4"/>
    <col collapsed="false" customWidth="true" hidden="false" outlineLevel="0" max="6" min="6" style="0" width="7.69"/>
    <col collapsed="false" customWidth="true" hidden="false" outlineLevel="0" max="7" min="7" style="0" width="26.76"/>
  </cols>
  <sheetData>
    <row r="1" customFormat="false" ht="12.8" hidden="false" customHeight="false" outlineLevel="0" collapsed="false">
      <c r="A1" s="21" t="s">
        <v>20</v>
      </c>
      <c r="B1" s="15" t="s">
        <v>21</v>
      </c>
      <c r="C1" s="16" t="s">
        <v>22</v>
      </c>
      <c r="D1" s="16" t="s">
        <v>23</v>
      </c>
      <c r="E1" s="16" t="s">
        <v>24</v>
      </c>
      <c r="F1" s="15" t="s">
        <v>25</v>
      </c>
      <c r="G1" s="22" t="s">
        <v>34</v>
      </c>
    </row>
    <row r="2" customFormat="false" ht="12.8" hidden="false" customHeight="false" outlineLevel="0" collapsed="false">
      <c r="A2" s="20" t="n">
        <v>1</v>
      </c>
      <c r="B2" s="17" t="n">
        <f aca="false">(D2-C2)/30</f>
        <v>5.63333333333333</v>
      </c>
      <c r="C2" s="18" t="n">
        <v>14560</v>
      </c>
      <c r="D2" s="18" t="n">
        <v>14729</v>
      </c>
      <c r="E2" s="18" t="n">
        <v>14829</v>
      </c>
      <c r="F2" s="17" t="n">
        <f aca="false">(E2-D2)/30</f>
        <v>3.33333333333333</v>
      </c>
      <c r="G2" s="20"/>
    </row>
    <row r="3" customFormat="false" ht="15.65" hidden="false" customHeight="false" outlineLevel="0" collapsed="false">
      <c r="A3" s="20" t="n">
        <v>2</v>
      </c>
      <c r="B3" s="17" t="n">
        <f aca="false">(D3-C3)/30</f>
        <v>4.86666666666667</v>
      </c>
      <c r="C3" s="18" t="n">
        <v>1939</v>
      </c>
      <c r="D3" s="18" t="n">
        <v>2085</v>
      </c>
      <c r="E3" s="18" t="n">
        <v>2314</v>
      </c>
      <c r="F3" s="17" t="n">
        <f aca="false">(E3-D3)/30</f>
        <v>7.63333333333333</v>
      </c>
      <c r="G3" s="23" t="s">
        <v>28</v>
      </c>
    </row>
    <row r="4" customFormat="false" ht="12.8" hidden="false" customHeight="false" outlineLevel="0" collapsed="false">
      <c r="A4" s="20" t="n">
        <v>2</v>
      </c>
      <c r="B4" s="17" t="n">
        <f aca="false">(D4-C4)/30</f>
        <v>7.56666666666667</v>
      </c>
      <c r="C4" s="18" t="n">
        <v>1960</v>
      </c>
      <c r="D4" s="18" t="n">
        <v>2187</v>
      </c>
      <c r="E4" s="18" t="n">
        <v>2322</v>
      </c>
      <c r="F4" s="17" t="n">
        <f aca="false">(E4-D4)/30</f>
        <v>4.5</v>
      </c>
      <c r="G4" s="20"/>
    </row>
    <row r="5" customFormat="false" ht="12.8" hidden="false" customHeight="false" outlineLevel="0" collapsed="false">
      <c r="A5" s="20" t="n">
        <v>2</v>
      </c>
      <c r="B5" s="17" t="n">
        <f aca="false">(D5-C5)/30</f>
        <v>7.8</v>
      </c>
      <c r="C5" s="18" t="n">
        <v>1996</v>
      </c>
      <c r="D5" s="18" t="n">
        <v>2230</v>
      </c>
      <c r="E5" s="18" t="n">
        <v>2343</v>
      </c>
      <c r="F5" s="17" t="n">
        <f aca="false">(E5-D5)/30</f>
        <v>3.76666666666667</v>
      </c>
      <c r="G5" s="20"/>
    </row>
    <row r="6" customFormat="false" ht="12.8" hidden="false" customHeight="false" outlineLevel="0" collapsed="false">
      <c r="A6" s="20" t="n">
        <v>2</v>
      </c>
      <c r="B6" s="17" t="n">
        <f aca="false">(D6-C6)/30</f>
        <v>6.66666666666667</v>
      </c>
      <c r="C6" s="18" t="n">
        <v>42743</v>
      </c>
      <c r="D6" s="18" t="n">
        <v>42943</v>
      </c>
      <c r="E6" s="18" t="n">
        <v>43024</v>
      </c>
      <c r="F6" s="17" t="n">
        <f aca="false">(E6-D6)/30</f>
        <v>2.7</v>
      </c>
      <c r="G6" s="20"/>
    </row>
    <row r="7" customFormat="false" ht="12.8" hidden="false" customHeight="false" outlineLevel="0" collapsed="false">
      <c r="A7" s="20" t="n">
        <v>2</v>
      </c>
      <c r="B7" s="17" t="n">
        <f aca="false">(D7-C7)/30</f>
        <v>4.73333333333333</v>
      </c>
      <c r="C7" s="18" t="n">
        <v>52070</v>
      </c>
      <c r="D7" s="18" t="n">
        <v>52212</v>
      </c>
      <c r="E7" s="18" t="n">
        <v>52316</v>
      </c>
      <c r="F7" s="17" t="n">
        <f aca="false">(E7-D7)/30</f>
        <v>3.46666666666667</v>
      </c>
      <c r="G7" s="20"/>
    </row>
    <row r="8" customFormat="false" ht="12.8" hidden="false" customHeight="false" outlineLevel="0" collapsed="false">
      <c r="A8" s="20" t="n">
        <v>2</v>
      </c>
      <c r="B8" s="17" t="n">
        <f aca="false">(D8-C8)/30</f>
        <v>6.33333333333333</v>
      </c>
      <c r="C8" s="18" t="n">
        <v>76460</v>
      </c>
      <c r="D8" s="18" t="n">
        <v>76650</v>
      </c>
      <c r="E8" s="18" t="n">
        <v>76721</v>
      </c>
      <c r="F8" s="17" t="n">
        <f aca="false">(E8-D8)/30</f>
        <v>2.36666666666667</v>
      </c>
      <c r="G8" s="20"/>
    </row>
    <row r="9" customFormat="false" ht="12.8" hidden="false" customHeight="false" outlineLevel="0" collapsed="false">
      <c r="A9" s="20" t="n">
        <v>2</v>
      </c>
      <c r="B9" s="17" t="n">
        <f aca="false">(D9-C9)/30</f>
        <v>5.96666666666667</v>
      </c>
      <c r="C9" s="18" t="n">
        <v>104304</v>
      </c>
      <c r="D9" s="18" t="n">
        <v>104483</v>
      </c>
      <c r="E9" s="18" t="n">
        <v>104603</v>
      </c>
      <c r="F9" s="17" t="n">
        <f aca="false">(E9-D9)/30</f>
        <v>4</v>
      </c>
      <c r="G9" s="20"/>
    </row>
    <row r="10" customFormat="false" ht="12.8" hidden="false" customHeight="false" outlineLevel="0" collapsed="false">
      <c r="A10" s="20" t="n">
        <v>2</v>
      </c>
      <c r="B10" s="17" t="n">
        <f aca="false">(D10-C10)/30</f>
        <v>5.36666666666667</v>
      </c>
      <c r="C10" s="18" t="n">
        <v>104430</v>
      </c>
      <c r="D10" s="18" t="n">
        <v>104591</v>
      </c>
      <c r="E10" s="18" t="n">
        <v>104670</v>
      </c>
      <c r="F10" s="17" t="n">
        <f aca="false">(E10-D10)/30</f>
        <v>2.63333333333333</v>
      </c>
      <c r="G10" s="20"/>
    </row>
    <row r="11" customFormat="false" ht="12.8" hidden="false" customHeight="false" outlineLevel="0" collapsed="false">
      <c r="A11" s="20" t="n">
        <v>2</v>
      </c>
      <c r="B11" s="17" t="n">
        <f aca="false">(D11-C11)/30</f>
        <v>7.03333333333333</v>
      </c>
      <c r="C11" s="18" t="n">
        <v>104589</v>
      </c>
      <c r="D11" s="18" t="n">
        <v>104800</v>
      </c>
      <c r="E11" s="18" t="n">
        <v>104920</v>
      </c>
      <c r="F11" s="17" t="n">
        <f aca="false">(E11-D11)/30</f>
        <v>4</v>
      </c>
      <c r="G11" s="20"/>
    </row>
    <row r="12" customFormat="false" ht="12.8" hidden="false" customHeight="false" outlineLevel="0" collapsed="false">
      <c r="A12" s="20" t="n">
        <v>2</v>
      </c>
      <c r="B12" s="17" t="n">
        <f aca="false">(D12-C12)/30</f>
        <v>6.7</v>
      </c>
      <c r="C12" s="18" t="n">
        <v>113420</v>
      </c>
      <c r="D12" s="18" t="n">
        <v>113621</v>
      </c>
      <c r="E12" s="18" t="n">
        <v>113703</v>
      </c>
      <c r="F12" s="17" t="n">
        <f aca="false">(E12-D12)/30</f>
        <v>2.73333333333333</v>
      </c>
      <c r="G12" s="20"/>
    </row>
    <row r="13" customFormat="false" ht="12.8" hidden="false" customHeight="false" outlineLevel="0" collapsed="false">
      <c r="A13" s="20" t="n">
        <v>2</v>
      </c>
      <c r="B13" s="17" t="n">
        <f aca="false">(D13-C13)/30</f>
        <v>6.86666666666667</v>
      </c>
      <c r="C13" s="18" t="n">
        <v>113424</v>
      </c>
      <c r="D13" s="18" t="n">
        <v>113630</v>
      </c>
      <c r="E13" s="18" t="n">
        <v>113733</v>
      </c>
      <c r="F13" s="17" t="n">
        <f aca="false">(E13-D13)/30</f>
        <v>3.43333333333333</v>
      </c>
      <c r="G13" s="20"/>
    </row>
    <row r="14" customFormat="false" ht="12.8" hidden="false" customHeight="false" outlineLevel="0" collapsed="false">
      <c r="A14" s="20" t="n">
        <v>2</v>
      </c>
      <c r="B14" s="17" t="n">
        <f aca="false">(D14-C14)/30</f>
        <v>3.66666666666667</v>
      </c>
      <c r="C14" s="18" t="n">
        <v>122860</v>
      </c>
      <c r="D14" s="18" t="n">
        <v>122970</v>
      </c>
      <c r="E14" s="18" t="n">
        <v>123062</v>
      </c>
      <c r="F14" s="17" t="n">
        <f aca="false">(E14-D14)/30</f>
        <v>3.06666666666667</v>
      </c>
      <c r="G14" s="20"/>
    </row>
    <row r="15" customFormat="false" ht="12.8" hidden="false" customHeight="false" outlineLevel="0" collapsed="false">
      <c r="A15" s="20" t="n">
        <v>2</v>
      </c>
      <c r="B15" s="17" t="n">
        <f aca="false">(D15-C15)/30</f>
        <v>6.66666666666667</v>
      </c>
      <c r="C15" s="18" t="n">
        <v>130980</v>
      </c>
      <c r="D15" s="18" t="n">
        <v>131180</v>
      </c>
      <c r="E15" s="18" t="n">
        <v>131270</v>
      </c>
      <c r="F15" s="17" t="n">
        <f aca="false">(E15-D15)/30</f>
        <v>3</v>
      </c>
      <c r="G15" s="20"/>
    </row>
    <row r="16" customFormat="false" ht="12.8" hidden="false" customHeight="false" outlineLevel="0" collapsed="false">
      <c r="A16" s="20" t="n">
        <v>2</v>
      </c>
      <c r="B16" s="17" t="n">
        <f aca="false">(D16-C16)/30</f>
        <v>6.36666666666667</v>
      </c>
      <c r="C16" s="18" t="n">
        <v>147407</v>
      </c>
      <c r="D16" s="18" t="n">
        <v>147598</v>
      </c>
      <c r="E16" s="18" t="n">
        <v>147689</v>
      </c>
      <c r="F16" s="17" t="n">
        <f aca="false">(E16-D16)/30</f>
        <v>3.03333333333333</v>
      </c>
      <c r="G16" s="20"/>
    </row>
    <row r="17" customFormat="false" ht="12.8" hidden="false" customHeight="false" outlineLevel="0" collapsed="false">
      <c r="A17" s="20" t="n">
        <v>3</v>
      </c>
      <c r="B17" s="17" t="n">
        <f aca="false">(D17-C17)/30</f>
        <v>4.56666666666667</v>
      </c>
      <c r="C17" s="18" t="n">
        <v>48433</v>
      </c>
      <c r="D17" s="18" t="n">
        <v>48570</v>
      </c>
      <c r="E17" s="18" t="n">
        <v>48652</v>
      </c>
      <c r="F17" s="17" t="n">
        <f aca="false">(E17-D17)/30</f>
        <v>2.73333333333333</v>
      </c>
      <c r="G17" s="20"/>
    </row>
    <row r="18" customFormat="false" ht="12.8" hidden="false" customHeight="false" outlineLevel="0" collapsed="false">
      <c r="A18" s="20" t="n">
        <v>3</v>
      </c>
      <c r="B18" s="17" t="n">
        <f aca="false">(D18-C18)/30</f>
        <v>5.03333333333333</v>
      </c>
      <c r="C18" s="18" t="n">
        <v>64475</v>
      </c>
      <c r="D18" s="18" t="n">
        <v>64626</v>
      </c>
      <c r="E18" s="18" t="n">
        <v>64760</v>
      </c>
      <c r="F18" s="17" t="n">
        <f aca="false">(E18-D18)/30</f>
        <v>4.46666666666667</v>
      </c>
      <c r="G18" s="17" t="s">
        <v>30</v>
      </c>
    </row>
    <row r="19" customFormat="false" ht="12.8" hidden="false" customHeight="false" outlineLevel="0" collapsed="false">
      <c r="A19" s="20" t="n">
        <v>3</v>
      </c>
      <c r="B19" s="17" t="n">
        <f aca="false">(D19-C19)/30</f>
        <v>5.13333333333333</v>
      </c>
      <c r="C19" s="18" t="n">
        <v>64476</v>
      </c>
      <c r="D19" s="18" t="n">
        <v>64630</v>
      </c>
      <c r="E19" s="18" t="n">
        <v>64791</v>
      </c>
      <c r="F19" s="17" t="n">
        <f aca="false">(E19-D19)/30</f>
        <v>5.36666666666667</v>
      </c>
      <c r="G19" s="17" t="s">
        <v>30</v>
      </c>
    </row>
    <row r="20" customFormat="false" ht="12.8" hidden="false" customHeight="false" outlineLevel="0" collapsed="false">
      <c r="A20" s="20" t="n">
        <v>3</v>
      </c>
      <c r="B20" s="17" t="n">
        <f aca="false">(D20-C20)/30</f>
        <v>5.06666666666667</v>
      </c>
      <c r="C20" s="18" t="n">
        <v>65089</v>
      </c>
      <c r="D20" s="18" t="n">
        <v>65241</v>
      </c>
      <c r="E20" s="18" t="n">
        <v>65353</v>
      </c>
      <c r="F20" s="17" t="n">
        <f aca="false">(E20-D20)/30</f>
        <v>3.73333333333333</v>
      </c>
      <c r="G20" s="17"/>
    </row>
    <row r="21" customFormat="false" ht="12.8" hidden="false" customHeight="false" outlineLevel="0" collapsed="false">
      <c r="A21" s="20" t="n">
        <v>3</v>
      </c>
      <c r="B21" s="17" t="n">
        <f aca="false">(D21-C21)/30</f>
        <v>6.23333333333333</v>
      </c>
      <c r="C21" s="18" t="n">
        <v>73281</v>
      </c>
      <c r="D21" s="18" t="n">
        <v>73468</v>
      </c>
      <c r="E21" s="18" t="n">
        <v>73599</v>
      </c>
      <c r="F21" s="17" t="n">
        <f aca="false">(E21-D21)/30</f>
        <v>4.36666666666667</v>
      </c>
      <c r="G21" s="17"/>
    </row>
    <row r="22" customFormat="false" ht="12.8" hidden="false" customHeight="false" outlineLevel="0" collapsed="false">
      <c r="A22" s="20" t="n">
        <v>3</v>
      </c>
      <c r="B22" s="17" t="n">
        <f aca="false">(D22-C22)/30</f>
        <v>5.26666666666667</v>
      </c>
      <c r="C22" s="18" t="n">
        <v>80763</v>
      </c>
      <c r="D22" s="18" t="n">
        <v>80921</v>
      </c>
      <c r="E22" s="18" t="n">
        <v>81056</v>
      </c>
      <c r="F22" s="17" t="n">
        <f aca="false">(E22-D22)/30</f>
        <v>4.5</v>
      </c>
      <c r="G22" s="17"/>
    </row>
    <row r="23" customFormat="false" ht="12.8" hidden="false" customHeight="false" outlineLevel="0" collapsed="false">
      <c r="A23" s="20" t="n">
        <v>3</v>
      </c>
      <c r="B23" s="17" t="n">
        <f aca="false">(D23-C23)/30</f>
        <v>5.1</v>
      </c>
      <c r="C23" s="18" t="n">
        <v>81016</v>
      </c>
      <c r="D23" s="18" t="n">
        <v>81169</v>
      </c>
      <c r="E23" s="18" t="n">
        <v>81239</v>
      </c>
      <c r="F23" s="17" t="n">
        <f aca="false">(E23-D23)/30</f>
        <v>2.33333333333333</v>
      </c>
      <c r="G23" s="17"/>
    </row>
    <row r="24" customFormat="false" ht="12.8" hidden="false" customHeight="false" outlineLevel="0" collapsed="false">
      <c r="A24" s="20" t="n">
        <v>3</v>
      </c>
      <c r="B24" s="17" t="n">
        <f aca="false">(D24-C24)/30</f>
        <v>8.33333333333333</v>
      </c>
      <c r="C24" s="18" t="n">
        <v>90700</v>
      </c>
      <c r="D24" s="18" t="n">
        <v>90950</v>
      </c>
      <c r="E24" s="18" t="n">
        <v>91093</v>
      </c>
      <c r="F24" s="17" t="n">
        <f aca="false">(E24-D24)/30</f>
        <v>4.76666666666667</v>
      </c>
      <c r="G24" s="17"/>
    </row>
    <row r="25" customFormat="false" ht="12.8" hidden="false" customHeight="false" outlineLevel="0" collapsed="false">
      <c r="A25" s="20" t="n">
        <v>3</v>
      </c>
      <c r="B25" s="17" t="n">
        <f aca="false">(D25-C25)/30</f>
        <v>3.9</v>
      </c>
      <c r="C25" s="18" t="n">
        <v>109697</v>
      </c>
      <c r="D25" s="18" t="n">
        <v>109814</v>
      </c>
      <c r="E25" s="18" t="n">
        <v>109919</v>
      </c>
      <c r="F25" s="17" t="n">
        <f aca="false">(E25-D25)/30</f>
        <v>3.5</v>
      </c>
      <c r="G25" s="17"/>
    </row>
    <row r="26" customFormat="false" ht="12.8" hidden="false" customHeight="false" outlineLevel="0" collapsed="false">
      <c r="A26" s="20" t="n">
        <v>3</v>
      </c>
      <c r="B26" s="17" t="n">
        <f aca="false">(D26-C26)/30</f>
        <v>8.2</v>
      </c>
      <c r="C26" s="18" t="n">
        <v>126175</v>
      </c>
      <c r="D26" s="18" t="n">
        <v>126421</v>
      </c>
      <c r="E26" s="18" t="n">
        <v>126497</v>
      </c>
      <c r="F26" s="17" t="n">
        <f aca="false">(E26-D26)/30</f>
        <v>2.53333333333333</v>
      </c>
      <c r="G26" s="17"/>
    </row>
    <row r="27" customFormat="false" ht="12.8" hidden="false" customHeight="false" outlineLevel="0" collapsed="false">
      <c r="A27" s="20" t="n">
        <v>3</v>
      </c>
      <c r="B27" s="17" t="n">
        <f aca="false">(D27-C27)/30</f>
        <v>6.36666666666667</v>
      </c>
      <c r="C27" s="18" t="n">
        <v>126280</v>
      </c>
      <c r="D27" s="18" t="n">
        <v>126471</v>
      </c>
      <c r="E27" s="18" t="n">
        <v>126558</v>
      </c>
      <c r="F27" s="17" t="n">
        <f aca="false">(E27-D27)/30</f>
        <v>2.9</v>
      </c>
      <c r="G27" s="17"/>
    </row>
    <row r="28" customFormat="false" ht="12.8" hidden="false" customHeight="false" outlineLevel="0" collapsed="false">
      <c r="A28" s="20" t="n">
        <v>4</v>
      </c>
      <c r="B28" s="17" t="n">
        <f aca="false">(D28-C28)/30</f>
        <v>3</v>
      </c>
      <c r="C28" s="18" t="n">
        <v>8995</v>
      </c>
      <c r="D28" s="18" t="n">
        <v>9085</v>
      </c>
      <c r="E28" s="18" t="n">
        <v>9140</v>
      </c>
      <c r="F28" s="17" t="n">
        <f aca="false">(E28-D28)/30</f>
        <v>1.83333333333333</v>
      </c>
      <c r="G28" s="17"/>
    </row>
    <row r="29" customFormat="false" ht="12.8" hidden="false" customHeight="false" outlineLevel="0" collapsed="false">
      <c r="A29" s="20" t="n">
        <v>4</v>
      </c>
      <c r="B29" s="17" t="n">
        <f aca="false">(D29-C29)/30</f>
        <v>3.83333333333333</v>
      </c>
      <c r="C29" s="18" t="n">
        <v>24826</v>
      </c>
      <c r="D29" s="18" t="n">
        <v>24941</v>
      </c>
      <c r="E29" s="18" t="n">
        <v>25014</v>
      </c>
      <c r="F29" s="17" t="n">
        <f aca="false">(E29-D29)/30</f>
        <v>2.43333333333333</v>
      </c>
      <c r="G29" s="17"/>
    </row>
    <row r="30" customFormat="false" ht="12.8" hidden="false" customHeight="false" outlineLevel="0" collapsed="false">
      <c r="A30" s="20" t="n">
        <v>4</v>
      </c>
      <c r="B30" s="17" t="n">
        <f aca="false">(D30-C30)/30</f>
        <v>7.66666666666667</v>
      </c>
      <c r="C30" s="18" t="n">
        <v>25610</v>
      </c>
      <c r="D30" s="18" t="n">
        <v>25840</v>
      </c>
      <c r="E30" s="18" t="n">
        <v>25932</v>
      </c>
      <c r="F30" s="17" t="n">
        <f aca="false">(E30-D30)/30</f>
        <v>3.06666666666667</v>
      </c>
      <c r="G30" s="17"/>
    </row>
    <row r="31" customFormat="false" ht="12.8" hidden="false" customHeight="false" outlineLevel="0" collapsed="false">
      <c r="A31" s="20" t="n">
        <v>4</v>
      </c>
      <c r="B31" s="17" t="n">
        <f aca="false">(D31-C31)/30</f>
        <v>6.76666666666667</v>
      </c>
      <c r="C31" s="18" t="n">
        <v>25691</v>
      </c>
      <c r="D31" s="18" t="n">
        <v>25894</v>
      </c>
      <c r="E31" s="18" t="n">
        <v>25990</v>
      </c>
      <c r="F31" s="17" t="n">
        <f aca="false">(E31-D31)/30</f>
        <v>3.2</v>
      </c>
      <c r="G31" s="17"/>
    </row>
    <row r="32" customFormat="false" ht="12.8" hidden="false" customHeight="false" outlineLevel="0" collapsed="false">
      <c r="A32" s="20" t="n">
        <v>4</v>
      </c>
      <c r="B32" s="17" t="n">
        <f aca="false">(D32-C32)/30</f>
        <v>7.26666666666667</v>
      </c>
      <c r="C32" s="18" t="n">
        <v>25717</v>
      </c>
      <c r="D32" s="18" t="n">
        <v>25935</v>
      </c>
      <c r="E32" s="18" t="n">
        <v>26027</v>
      </c>
      <c r="F32" s="17" t="n">
        <f aca="false">(E32-D32)/30</f>
        <v>3.06666666666667</v>
      </c>
      <c r="G32" s="17"/>
    </row>
    <row r="33" customFormat="false" ht="12.8" hidden="false" customHeight="false" outlineLevel="0" collapsed="false">
      <c r="A33" s="20" t="n">
        <v>4</v>
      </c>
      <c r="B33" s="17" t="n">
        <f aca="false">(D33-C33)/30</f>
        <v>7.73333333333333</v>
      </c>
      <c r="C33" s="18" t="n">
        <v>34910</v>
      </c>
      <c r="D33" s="18" t="n">
        <v>35142</v>
      </c>
      <c r="E33" s="18" t="n">
        <v>35292</v>
      </c>
      <c r="F33" s="17" t="n">
        <f aca="false">(E33-D33)/30</f>
        <v>5</v>
      </c>
      <c r="G33" s="17" t="s">
        <v>30</v>
      </c>
    </row>
    <row r="34" customFormat="false" ht="12.8" hidden="false" customHeight="false" outlineLevel="0" collapsed="false">
      <c r="A34" s="20" t="n">
        <v>4</v>
      </c>
      <c r="B34" s="17" t="n">
        <f aca="false">(D34-C34)/30</f>
        <v>11.9</v>
      </c>
      <c r="C34" s="18" t="n">
        <v>43224</v>
      </c>
      <c r="D34" s="18" t="n">
        <v>43581</v>
      </c>
      <c r="E34" s="18" t="n">
        <v>43793</v>
      </c>
      <c r="F34" s="17" t="n">
        <f aca="false">(E34-D34)/30</f>
        <v>7.06666666666667</v>
      </c>
      <c r="G34" s="20"/>
    </row>
    <row r="35" customFormat="false" ht="12.8" hidden="false" customHeight="false" outlineLevel="0" collapsed="false">
      <c r="A35" s="20" t="n">
        <v>4</v>
      </c>
      <c r="B35" s="17" t="n">
        <f aca="false">(D35-C35)/30</f>
        <v>12.7333333333333</v>
      </c>
      <c r="C35" s="18" t="n">
        <v>43300</v>
      </c>
      <c r="D35" s="18" t="n">
        <v>43682</v>
      </c>
      <c r="E35" s="18" t="n">
        <v>43820</v>
      </c>
      <c r="F35" s="17" t="n">
        <f aca="false">(E35-D35)/30</f>
        <v>4.6</v>
      </c>
      <c r="G35" s="20"/>
    </row>
    <row r="36" customFormat="false" ht="12.8" hidden="false" customHeight="false" outlineLevel="0" collapsed="false">
      <c r="A36" s="20" t="n">
        <v>4</v>
      </c>
      <c r="B36" s="17" t="n">
        <f aca="false">(D36-C36)/30</f>
        <v>13.5666666666667</v>
      </c>
      <c r="C36" s="18" t="n">
        <v>43330</v>
      </c>
      <c r="D36" s="18" t="n">
        <v>43737</v>
      </c>
      <c r="E36" s="18" t="n">
        <v>43844</v>
      </c>
      <c r="F36" s="17" t="n">
        <f aca="false">(E36-D36)/30</f>
        <v>3.56666666666667</v>
      </c>
      <c r="G36" s="20"/>
    </row>
    <row r="37" customFormat="false" ht="12.8" hidden="false" customHeight="false" outlineLevel="0" collapsed="false">
      <c r="A37" s="20" t="n">
        <v>4</v>
      </c>
      <c r="B37" s="17" t="n">
        <f aca="false">(D37-C37)/30</f>
        <v>14.1</v>
      </c>
      <c r="C37" s="18" t="n">
        <v>43335</v>
      </c>
      <c r="D37" s="18" t="n">
        <v>43758</v>
      </c>
      <c r="E37" s="18" t="n">
        <v>43860</v>
      </c>
      <c r="F37" s="17" t="n">
        <f aca="false">(E37-D37)/30</f>
        <v>3.4</v>
      </c>
      <c r="G37" s="20"/>
    </row>
    <row r="38" customFormat="false" ht="12.8" hidden="false" customHeight="false" outlineLevel="0" collapsed="false">
      <c r="A38" s="20" t="n">
        <v>4</v>
      </c>
      <c r="B38" s="17" t="n">
        <f aca="false">(D38-C38)/30</f>
        <v>3.2</v>
      </c>
      <c r="C38" s="18" t="n">
        <v>59905</v>
      </c>
      <c r="D38" s="18" t="n">
        <v>60001</v>
      </c>
      <c r="E38" s="18" t="n">
        <v>60068</v>
      </c>
      <c r="F38" s="17" t="n">
        <f aca="false">(E38-D38)/30</f>
        <v>2.23333333333333</v>
      </c>
      <c r="G38" s="20"/>
    </row>
    <row r="39" customFormat="false" ht="12.8" hidden="false" customHeight="false" outlineLevel="0" collapsed="false">
      <c r="A39" s="20" t="n">
        <v>4</v>
      </c>
      <c r="B39" s="17" t="n">
        <f aca="false">(D39-C39)/30</f>
        <v>9.16666666666667</v>
      </c>
      <c r="C39" s="18" t="n">
        <v>60275</v>
      </c>
      <c r="D39" s="18" t="n">
        <v>60550</v>
      </c>
      <c r="E39" s="18" t="n">
        <v>60687</v>
      </c>
      <c r="F39" s="17" t="n">
        <f aca="false">(E39-D39)/30</f>
        <v>4.56666666666667</v>
      </c>
      <c r="G39" s="20"/>
    </row>
    <row r="40" customFormat="false" ht="12.8" hidden="false" customHeight="false" outlineLevel="0" collapsed="false">
      <c r="A40" s="20" t="n">
        <v>4</v>
      </c>
      <c r="B40" s="17" t="n">
        <f aca="false">(D40-C40)/30</f>
        <v>6.8</v>
      </c>
      <c r="C40" s="18" t="n">
        <v>60380</v>
      </c>
      <c r="D40" s="18" t="n">
        <v>60584</v>
      </c>
      <c r="E40" s="18" t="n">
        <v>60704</v>
      </c>
      <c r="F40" s="17" t="n">
        <f aca="false">(E40-D40)/30</f>
        <v>4</v>
      </c>
      <c r="G40" s="20"/>
    </row>
    <row r="41" customFormat="false" ht="12.8" hidden="false" customHeight="false" outlineLevel="0" collapsed="false">
      <c r="A41" s="20" t="n">
        <v>4</v>
      </c>
      <c r="B41" s="17" t="n">
        <f aca="false">(D41-C41)/30</f>
        <v>7.6</v>
      </c>
      <c r="C41" s="18" t="n">
        <v>60390</v>
      </c>
      <c r="D41" s="18" t="n">
        <v>60618</v>
      </c>
      <c r="E41" s="18" t="n">
        <v>60727</v>
      </c>
      <c r="F41" s="17" t="n">
        <f aca="false">(E41-D41)/30</f>
        <v>3.63333333333333</v>
      </c>
      <c r="G41" s="20"/>
    </row>
    <row r="42" customFormat="false" ht="12.8" hidden="false" customHeight="false" outlineLevel="0" collapsed="false">
      <c r="A42" s="20" t="n">
        <v>4</v>
      </c>
      <c r="B42" s="17" t="n">
        <f aca="false">(D42-C42)/30</f>
        <v>6.03333333333333</v>
      </c>
      <c r="C42" s="18" t="n">
        <v>75019</v>
      </c>
      <c r="D42" s="18" t="n">
        <v>75200</v>
      </c>
      <c r="E42" s="18" t="n">
        <v>75278</v>
      </c>
      <c r="F42" s="17" t="n">
        <f aca="false">(E42-D42)/30</f>
        <v>2.6</v>
      </c>
      <c r="G42" s="20"/>
    </row>
    <row r="43" customFormat="false" ht="12.8" hidden="false" customHeight="false" outlineLevel="0" collapsed="false">
      <c r="A43" s="20" t="n">
        <v>4</v>
      </c>
      <c r="B43" s="17" t="n">
        <f aca="false">(D43-C43)/30</f>
        <v>6.73333333333333</v>
      </c>
      <c r="C43" s="18" t="n">
        <v>91078</v>
      </c>
      <c r="D43" s="18" t="n">
        <v>91280</v>
      </c>
      <c r="E43" s="18" t="n">
        <v>91380</v>
      </c>
      <c r="F43" s="17" t="n">
        <f aca="false">(E43-D43)/30</f>
        <v>3.33333333333333</v>
      </c>
      <c r="G43" s="20"/>
    </row>
    <row r="44" customFormat="false" ht="12.8" hidden="false" customHeight="false" outlineLevel="0" collapsed="false">
      <c r="A44" s="20" t="n">
        <v>5</v>
      </c>
      <c r="B44" s="17" t="n">
        <f aca="false">(D44-C44)/30</f>
        <v>7.13333333333333</v>
      </c>
      <c r="C44" s="18" t="n">
        <v>27472</v>
      </c>
      <c r="D44" s="18" t="n">
        <v>27686</v>
      </c>
      <c r="E44" s="18" t="n">
        <v>27829</v>
      </c>
      <c r="F44" s="17" t="n">
        <f aca="false">(E44-D44)/30</f>
        <v>4.76666666666667</v>
      </c>
      <c r="G44" s="20"/>
    </row>
    <row r="45" customFormat="false" ht="12.8" hidden="false" customHeight="false" outlineLevel="0" collapsed="false">
      <c r="A45" s="20" t="n">
        <v>5</v>
      </c>
      <c r="B45" s="17" t="n">
        <f aca="false">(D45-C45)/30</f>
        <v>5.66666666666667</v>
      </c>
      <c r="C45" s="18" t="n">
        <v>27870</v>
      </c>
      <c r="D45" s="18" t="n">
        <v>28040</v>
      </c>
      <c r="E45" s="18" t="n">
        <v>28130</v>
      </c>
      <c r="F45" s="17" t="n">
        <f aca="false">(E45-D45)/30</f>
        <v>3</v>
      </c>
      <c r="G45" s="20"/>
    </row>
    <row r="46" customFormat="false" ht="12.8" hidden="false" customHeight="false" outlineLevel="0" collapsed="false">
      <c r="A46" s="20" t="n">
        <v>5</v>
      </c>
      <c r="B46" s="17" t="n">
        <f aca="false">(D46-C46)/30</f>
        <v>4.13333333333333</v>
      </c>
      <c r="C46" s="18" t="n">
        <v>38968</v>
      </c>
      <c r="D46" s="18" t="n">
        <v>39092</v>
      </c>
      <c r="E46" s="18" t="n">
        <v>39198</v>
      </c>
      <c r="F46" s="17" t="n">
        <f aca="false">(E46-D46)/30</f>
        <v>3.53333333333333</v>
      </c>
      <c r="G46" s="20"/>
    </row>
    <row r="47" customFormat="false" ht="12.8" hidden="false" customHeight="false" outlineLevel="0" collapsed="false">
      <c r="A47" s="20" t="n">
        <v>5</v>
      </c>
      <c r="B47" s="17" t="n">
        <f aca="false">(D47-C47)/30</f>
        <v>4.1</v>
      </c>
      <c r="C47" s="18" t="n">
        <v>39000</v>
      </c>
      <c r="D47" s="18" t="n">
        <v>39123</v>
      </c>
      <c r="E47" s="18" t="n">
        <v>39225</v>
      </c>
      <c r="F47" s="17" t="n">
        <f aca="false">(E47-D47)/30</f>
        <v>3.4</v>
      </c>
      <c r="G47" s="20"/>
    </row>
    <row r="48" customFormat="false" ht="12.8" hidden="false" customHeight="false" outlineLevel="0" collapsed="false">
      <c r="A48" s="20" t="n">
        <v>5</v>
      </c>
      <c r="B48" s="17" t="n">
        <f aca="false">(D48-C48)/30</f>
        <v>7.33333333333333</v>
      </c>
      <c r="C48" s="18" t="n">
        <v>56748</v>
      </c>
      <c r="D48" s="18" t="n">
        <v>56968</v>
      </c>
      <c r="E48" s="18" t="n">
        <v>57109</v>
      </c>
      <c r="F48" s="17" t="n">
        <f aca="false">(E48-D48)/30</f>
        <v>4.7</v>
      </c>
      <c r="G48" s="20"/>
    </row>
    <row r="49" customFormat="false" ht="12.8" hidden="false" customHeight="false" outlineLevel="0" collapsed="false">
      <c r="A49" s="20" t="n">
        <v>5</v>
      </c>
      <c r="B49" s="17" t="n">
        <f aca="false">(D49-C49)/30</f>
        <v>8.16666666666667</v>
      </c>
      <c r="C49" s="18" t="n">
        <v>81339</v>
      </c>
      <c r="D49" s="18" t="n">
        <v>81584</v>
      </c>
      <c r="E49" s="18" t="n">
        <v>81750</v>
      </c>
      <c r="F49" s="17" t="n">
        <f aca="false">(E49-D49)/30</f>
        <v>5.53333333333333</v>
      </c>
      <c r="G49" s="20"/>
    </row>
    <row r="50" customFormat="false" ht="12.8" hidden="false" customHeight="false" outlineLevel="0" collapsed="false">
      <c r="A50" s="20" t="n">
        <v>5</v>
      </c>
      <c r="B50" s="17" t="n">
        <f aca="false">(D50-C50)/30</f>
        <v>9</v>
      </c>
      <c r="C50" s="18" t="n">
        <v>82420</v>
      </c>
      <c r="D50" s="18" t="n">
        <v>82690</v>
      </c>
      <c r="E50" s="18" t="n">
        <v>82797</v>
      </c>
      <c r="F50" s="17" t="n">
        <f aca="false">(E50-D50)/30</f>
        <v>3.56666666666667</v>
      </c>
      <c r="G50" s="20"/>
    </row>
    <row r="51" customFormat="false" ht="12.8" hidden="false" customHeight="false" outlineLevel="0" collapsed="false">
      <c r="A51" s="20" t="n">
        <v>5</v>
      </c>
      <c r="B51" s="17" t="n">
        <f aca="false">(D51-C51)/30</f>
        <v>5.73333333333333</v>
      </c>
      <c r="C51" s="18" t="n">
        <v>83248</v>
      </c>
      <c r="D51" s="18" t="n">
        <v>83420</v>
      </c>
      <c r="E51" s="18" t="n">
        <v>83487</v>
      </c>
      <c r="F51" s="17" t="n">
        <f aca="false">(E51-D51)/30</f>
        <v>2.23333333333333</v>
      </c>
      <c r="G51" s="20"/>
    </row>
    <row r="52" customFormat="false" ht="12.8" hidden="false" customHeight="false" outlineLevel="0" collapsed="false">
      <c r="A52" s="20" t="n">
        <v>5</v>
      </c>
      <c r="B52" s="17" t="n">
        <f aca="false">(D52-C52)/30</f>
        <v>3.76666666666667</v>
      </c>
      <c r="C52" s="18" t="n">
        <v>91437</v>
      </c>
      <c r="D52" s="18" t="n">
        <v>91550</v>
      </c>
      <c r="E52" s="18" t="n">
        <v>91635</v>
      </c>
      <c r="F52" s="17" t="n">
        <f aca="false">(E52-D52)/30</f>
        <v>2.83333333333333</v>
      </c>
      <c r="G52" s="20"/>
    </row>
    <row r="53" customFormat="false" ht="12.8" hidden="false" customHeight="false" outlineLevel="0" collapsed="false">
      <c r="A53" s="20" t="n">
        <v>5</v>
      </c>
      <c r="B53" s="17" t="n">
        <f aca="false">(D53-C53)/30</f>
        <v>7.63333333333333</v>
      </c>
      <c r="C53" s="18" t="n">
        <v>101528</v>
      </c>
      <c r="D53" s="18" t="n">
        <v>101757</v>
      </c>
      <c r="E53" s="18" t="n">
        <v>101829</v>
      </c>
      <c r="F53" s="17" t="n">
        <f aca="false">(E53-D53)/30</f>
        <v>2.4</v>
      </c>
      <c r="G53" s="20"/>
    </row>
    <row r="54" customFormat="false" ht="12.8" hidden="false" customHeight="false" outlineLevel="0" collapsed="false">
      <c r="A54" s="20" t="n">
        <v>5</v>
      </c>
      <c r="B54" s="17" t="n">
        <f aca="false">(D54-C54)/30</f>
        <v>4.23333333333333</v>
      </c>
      <c r="C54" s="18" t="n">
        <v>109228</v>
      </c>
      <c r="D54" s="18" t="n">
        <v>109355</v>
      </c>
      <c r="E54" s="18" t="n">
        <v>109442</v>
      </c>
      <c r="F54" s="17" t="n">
        <f aca="false">(E54-D54)/30</f>
        <v>2.9</v>
      </c>
      <c r="G54" s="20"/>
    </row>
    <row r="55" customFormat="false" ht="12.8" hidden="false" customHeight="false" outlineLevel="0" collapsed="false">
      <c r="A55" s="20" t="n">
        <v>5</v>
      </c>
      <c r="B55" s="17" t="n">
        <f aca="false">(D55-C55)/30</f>
        <v>3.6</v>
      </c>
      <c r="C55" s="18" t="n">
        <v>109280</v>
      </c>
      <c r="D55" s="18" t="n">
        <v>109388</v>
      </c>
      <c r="E55" s="18" t="n">
        <v>109469</v>
      </c>
      <c r="F55" s="17" t="n">
        <f aca="false">(E55-D55)/30</f>
        <v>2.7</v>
      </c>
      <c r="G55" s="20"/>
    </row>
    <row r="56" customFormat="false" ht="12.8" hidden="false" customHeight="false" outlineLevel="0" collapsed="false">
      <c r="A56" s="20" t="n">
        <v>5</v>
      </c>
      <c r="B56" s="17" t="n">
        <f aca="false">(D56-C56)/30</f>
        <v>6.23333333333333</v>
      </c>
      <c r="C56" s="18" t="n">
        <v>110170</v>
      </c>
      <c r="D56" s="18" t="n">
        <v>110357</v>
      </c>
      <c r="E56" s="18" t="n">
        <v>110425</v>
      </c>
      <c r="F56" s="17" t="n">
        <f aca="false">(E56-D56)/30</f>
        <v>2.26666666666667</v>
      </c>
      <c r="G56" s="20"/>
    </row>
    <row r="57" customFormat="false" ht="12.8" hidden="false" customHeight="false" outlineLevel="0" collapsed="false">
      <c r="A57" s="20" t="n">
        <v>5</v>
      </c>
      <c r="B57" s="17" t="n">
        <f aca="false">(D57-C57)/30</f>
        <v>8.23333333333333</v>
      </c>
      <c r="C57" s="20" t="n">
        <v>111678</v>
      </c>
      <c r="D57" s="20" t="n">
        <v>111925</v>
      </c>
      <c r="E57" s="20" t="n">
        <v>112040</v>
      </c>
      <c r="F57" s="17" t="n">
        <f aca="false">(E57-D57)/30</f>
        <v>3.83333333333333</v>
      </c>
      <c r="G57" s="20"/>
    </row>
    <row r="58" customFormat="false" ht="12.8" hidden="false" customHeight="false" outlineLevel="0" collapsed="false">
      <c r="A58" s="20" t="n">
        <v>5</v>
      </c>
      <c r="B58" s="17" t="n">
        <f aca="false">(D58-C58)/30</f>
        <v>6.26666666666667</v>
      </c>
      <c r="C58" s="20" t="n">
        <v>111852</v>
      </c>
      <c r="D58" s="20" t="n">
        <v>112040</v>
      </c>
      <c r="E58" s="20" t="n">
        <v>112134</v>
      </c>
      <c r="F58" s="17" t="n">
        <f aca="false">(E58-D58)/30</f>
        <v>3.13333333333333</v>
      </c>
      <c r="G58" s="20"/>
    </row>
    <row r="59" customFormat="false" ht="12.8" hidden="false" customHeight="false" outlineLevel="0" collapsed="false">
      <c r="A59" s="20" t="n">
        <v>5</v>
      </c>
      <c r="B59" s="17" t="n">
        <f aca="false">(D59-C59)/30</f>
        <v>3.8</v>
      </c>
      <c r="C59" s="20" t="n">
        <v>137876</v>
      </c>
      <c r="D59" s="20" t="n">
        <v>137990</v>
      </c>
      <c r="E59" s="20" t="n">
        <v>138056</v>
      </c>
      <c r="F59" s="17" t="n">
        <f aca="false">(E59-D59)/30</f>
        <v>2.2</v>
      </c>
      <c r="G59" s="20"/>
    </row>
    <row r="60" customFormat="false" ht="12.8" hidden="false" customHeight="false" outlineLevel="0" collapsed="false">
      <c r="A60" s="20" t="n">
        <v>5</v>
      </c>
      <c r="B60" s="17" t="n">
        <f aca="false">(D60-C60)/30</f>
        <v>5.66666666666667</v>
      </c>
      <c r="C60" s="20" t="n">
        <v>148206</v>
      </c>
      <c r="D60" s="20" t="n">
        <v>148376</v>
      </c>
      <c r="E60" s="20" t="n">
        <v>148476</v>
      </c>
      <c r="F60" s="17" t="n">
        <f aca="false">(E60-D60)/30</f>
        <v>3.33333333333333</v>
      </c>
      <c r="G60" s="20"/>
    </row>
    <row r="61" customFormat="false" ht="12.8" hidden="false" customHeight="false" outlineLevel="0" collapsed="false">
      <c r="A61" s="20" t="n">
        <v>5</v>
      </c>
      <c r="B61" s="17" t="n">
        <f aca="false">(D61-C61)/30</f>
        <v>4.63333333333333</v>
      </c>
      <c r="C61" s="20" t="n">
        <v>148370</v>
      </c>
      <c r="D61" s="20" t="n">
        <v>148509</v>
      </c>
      <c r="E61" s="20" t="n">
        <v>148580</v>
      </c>
      <c r="F61" s="17" t="n">
        <f aca="false">(E61-D61)/30</f>
        <v>2.36666666666667</v>
      </c>
      <c r="G61" s="20"/>
    </row>
    <row r="62" customFormat="false" ht="12.8" hidden="false" customHeight="false" outlineLevel="0" collapsed="false">
      <c r="A62" s="20" t="n">
        <v>5</v>
      </c>
      <c r="B62" s="17" t="n">
        <f aca="false">(D62-C62)/30</f>
        <v>8.03333333333333</v>
      </c>
      <c r="C62" s="20" t="n">
        <v>155891</v>
      </c>
      <c r="D62" s="20" t="n">
        <v>156132</v>
      </c>
      <c r="E62" s="20" t="n">
        <v>156320</v>
      </c>
      <c r="F62" s="17" t="n">
        <f aca="false">(E62-D62)/30</f>
        <v>6.26666666666667</v>
      </c>
      <c r="G62" s="23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2026-02-07T11:18:07Z</dcterms:modified>
  <cp:revision>7</cp:revision>
  <dc:subject/>
  <dc:title/>
</cp:coreProperties>
</file>