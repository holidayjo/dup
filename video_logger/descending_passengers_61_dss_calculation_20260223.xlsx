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<sst xmlns="http://schemas.openxmlformats.org/spreadsheetml/2006/main" count="52" uniqueCount="48">
  <si>
    <t xml:space="preserve">video_id</t>
  </si>
  <si>
    <t xml:space="preserve">T_stairs</t>
  </si>
  <si>
    <t xml:space="preserve">s0_frame</t>
  </si>
  <si>
    <t xml:space="preserve">s_floor_frame</t>
  </si>
  <si>
    <t xml:space="preserve">s_door_frame</t>
  </si>
  <si>
    <t xml:space="preserve">T_floor</t>
  </si>
  <si>
    <t xml:space="preserve">설명</t>
  </si>
  <si>
    <t xml:space="preserve">t_door &gt; T_floor?</t>
  </si>
  <si>
    <r>
      <rPr>
        <b val="true"/>
        <sz val="10"/>
        <rFont val="Arial"/>
        <family val="2"/>
        <charset val="1"/>
      </rPr>
      <t xml:space="preserve">(old) s=0</t>
    </r>
    <r>
      <rPr>
        <b val="true"/>
        <sz val="10"/>
        <rFont val="Noto Sans CJK SC"/>
        <family val="2"/>
        <charset val="1"/>
      </rPr>
      <t xml:space="preserve">에서 내려오는데 
걸리는 시간</t>
    </r>
  </si>
  <si>
    <r>
      <rPr>
        <b val="true"/>
        <sz val="10"/>
        <rFont val="Arial"/>
        <family val="2"/>
        <charset val="1"/>
      </rPr>
      <t xml:space="preserve">(old) T_stair_s=0.25 </t>
    </r>
    <r>
      <rPr>
        <b val="true"/>
        <sz val="10"/>
        <rFont val="Noto Sans CJK SC"/>
        <family val="2"/>
        <charset val="1"/>
      </rPr>
      <t xml:space="preserve">부터 바닥까지 내려오는데 걸리는 시간 </t>
    </r>
    <r>
      <rPr>
        <b val="true"/>
        <sz val="10"/>
        <rFont val="Arial"/>
        <family val="2"/>
        <charset val="1"/>
      </rPr>
      <t xml:space="preserve">+T_floor</t>
    </r>
  </si>
  <si>
    <r>
      <rPr>
        <b val="true"/>
        <sz val="10"/>
        <rFont val="Arial"/>
        <family val="2"/>
        <charset val="1"/>
      </rPr>
      <t xml:space="preserve">(old) T_stair_s=1.63 (s=0</t>
    </r>
    <r>
      <rPr>
        <b val="true"/>
        <sz val="10"/>
        <rFont val="Noto Sans CJK SC"/>
        <family val="2"/>
        <charset val="1"/>
      </rPr>
      <t xml:space="preserve">이 꼭대기</t>
    </r>
    <r>
      <rPr>
        <b val="true"/>
        <sz val="10"/>
        <rFont val="Arial"/>
        <family val="2"/>
        <charset val="1"/>
      </rPr>
      <t xml:space="preserve">),
s=1.63m </t>
    </r>
    <r>
      <rPr>
        <b val="true"/>
        <sz val="10"/>
        <rFont val="Noto Sans CJK SC"/>
        <family val="2"/>
        <charset val="1"/>
      </rPr>
      <t xml:space="preserve">부터 바닥까지 내려오는데 걸리는 시간
</t>
    </r>
    <r>
      <rPr>
        <b val="true"/>
        <sz val="10"/>
        <rFont val="Arial"/>
        <family val="2"/>
        <charset val="1"/>
      </rPr>
      <t xml:space="preserve">+T_floor</t>
    </r>
  </si>
  <si>
    <r>
      <rPr>
        <b val="true"/>
        <sz val="10"/>
        <rFont val="Arial"/>
        <family val="2"/>
        <charset val="1"/>
      </rPr>
      <t xml:space="preserve">(old) T_stairs_s=2.62 </t>
    </r>
    <r>
      <rPr>
        <b val="true"/>
        <sz val="10"/>
        <rFont val="Noto Sans CJK SC"/>
        <family val="2"/>
        <charset val="1"/>
      </rPr>
      <t xml:space="preserve">부터 바닥까지 내려오는데 걸리는 시간</t>
    </r>
    <r>
      <rPr>
        <b val="true"/>
        <sz val="10"/>
        <rFont val="Arial"/>
        <family val="2"/>
        <charset val="1"/>
      </rPr>
      <t xml:space="preserve">+T_floor</t>
    </r>
  </si>
  <si>
    <r>
      <rPr>
        <b val="true"/>
        <sz val="10"/>
        <rFont val="Arial"/>
        <family val="2"/>
        <charset val="1"/>
      </rPr>
      <t xml:space="preserve">(old) T_stairs_s=3.27 </t>
    </r>
    <r>
      <rPr>
        <b val="true"/>
        <sz val="10"/>
        <rFont val="Noto Sans CJK SC"/>
        <family val="2"/>
        <charset val="1"/>
      </rPr>
      <t xml:space="preserve">부터 바닥까지 내려오는데 걸리는 시간</t>
    </r>
    <r>
      <rPr>
        <b val="true"/>
        <sz val="10"/>
        <rFont val="Arial"/>
        <family val="2"/>
        <charset val="1"/>
      </rPr>
      <t xml:space="preserve">+T_floor</t>
    </r>
  </si>
  <si>
    <t xml:space="preserve">T_stair</t>
  </si>
  <si>
    <t xml:space="preserve">v_stair</t>
  </si>
  <si>
    <r>
      <rPr>
        <b val="true"/>
        <sz val="10"/>
        <rFont val="Arial"/>
        <family val="2"/>
        <charset val="1"/>
      </rPr>
      <t xml:space="preserve">(new) s = s_floor+s_stair</t>
    </r>
    <r>
      <rPr>
        <b val="true"/>
        <sz val="10"/>
        <rFont val="Noto Sans CJK SC"/>
        <family val="2"/>
        <charset val="1"/>
      </rPr>
      <t xml:space="preserve">에서 내려오는데 걸리는 시간</t>
    </r>
  </si>
  <si>
    <r>
      <rPr>
        <b val="true"/>
        <sz val="10"/>
        <rFont val="Arial"/>
        <family val="2"/>
        <charset val="1"/>
      </rPr>
      <t xml:space="preserve">(new) s=s_floor+s_stair-0.25</t>
    </r>
    <r>
      <rPr>
        <b val="true"/>
        <sz val="10"/>
        <rFont val="Noto Sans CJK SC"/>
        <family val="2"/>
        <charset val="1"/>
      </rPr>
      <t xml:space="preserve">에서 바닥까지 내려오는데 걸리는 시간</t>
    </r>
  </si>
  <si>
    <r>
      <rPr>
        <b val="true"/>
        <sz val="10"/>
        <rFont val="Arial"/>
        <family val="2"/>
        <charset val="1"/>
      </rPr>
      <t xml:space="preserve">(new) s=s_floor+s_stair-1.63=7.65</t>
    </r>
    <r>
      <rPr>
        <b val="true"/>
        <sz val="10"/>
        <rFont val="Noto Sans CJK SC"/>
        <family val="2"/>
      </rPr>
      <t xml:space="preserve">에서 바닥까지 내려오는데 걸리는 시간</t>
    </r>
  </si>
  <si>
    <r>
      <rPr>
        <b val="true"/>
        <sz val="10"/>
        <rFont val="Arial"/>
        <family val="2"/>
        <charset val="1"/>
      </rPr>
      <t xml:space="preserve">(new) s=s_floor+s_stair-2.62=6.66</t>
    </r>
    <r>
      <rPr>
        <b val="true"/>
        <sz val="10"/>
        <rFont val="Noto Sans CJK SC"/>
        <family val="2"/>
      </rPr>
      <t xml:space="preserve">에서 내려오는데 걸리는 시간</t>
    </r>
  </si>
  <si>
    <r>
      <rPr>
        <b val="true"/>
        <sz val="10"/>
        <rFont val="Arial"/>
        <family val="2"/>
        <charset val="1"/>
      </rPr>
      <t xml:space="preserve">(new) s=s_floor+s_stair-3.27</t>
    </r>
    <r>
      <rPr>
        <b val="true"/>
        <sz val="10"/>
        <rFont val="Noto Sans CJK SC"/>
        <family val="2"/>
      </rPr>
      <t xml:space="preserve">에서 바닥까지 내려오는데 걸리는 시간</t>
    </r>
  </si>
  <si>
    <t xml:space="preserve">s_th</t>
  </si>
  <si>
    <r>
      <rPr>
        <sz val="10"/>
        <rFont val="Noto Sans CJK SC"/>
        <family val="2"/>
        <charset val="1"/>
      </rPr>
      <t xml:space="preserve">어린이</t>
    </r>
    <r>
      <rPr>
        <sz val="10"/>
        <rFont val="Arial"/>
        <family val="2"/>
        <charset val="1"/>
      </rPr>
      <t xml:space="preserve">1 </t>
    </r>
    <r>
      <rPr>
        <sz val="10"/>
        <rFont val="Noto Sans CJK SC"/>
        <family val="2"/>
        <charset val="1"/>
      </rPr>
      <t xml:space="preserve">할머니 기다리느라고늦음</t>
    </r>
  </si>
  <si>
    <t xml:space="preserve">1sigma</t>
  </si>
  <si>
    <t xml:space="preserve">door2</t>
  </si>
  <si>
    <t xml:space="preserve">앞에서 조심하면서 탐</t>
  </si>
  <si>
    <t xml:space="preserve">reopen(stuck)</t>
  </si>
  <si>
    <t xml:space="preserve">dwell time</t>
  </si>
  <si>
    <t xml:space="preserve">min</t>
  </si>
  <si>
    <t xml:space="preserve">마지막사람이 타는 시간</t>
  </si>
  <si>
    <r>
      <rPr>
        <sz val="10"/>
        <rFont val="Arial"/>
        <family val="2"/>
        <charset val="1"/>
      </rPr>
      <t xml:space="preserve">4.6</t>
    </r>
    <r>
      <rPr>
        <sz val="10"/>
        <rFont val="Noto Sans CJK SC"/>
        <family val="2"/>
        <charset val="1"/>
      </rPr>
      <t xml:space="preserve">초 후에 닫는다면 끼는 사람</t>
    </r>
    <r>
      <rPr>
        <sz val="10"/>
        <rFont val="Arial"/>
        <family val="2"/>
        <charset val="1"/>
      </rPr>
      <t xml:space="preserve">?</t>
    </r>
  </si>
  <si>
    <r>
      <rPr>
        <sz val="10"/>
        <rFont val="Arial"/>
        <family val="2"/>
        <charset val="1"/>
      </rPr>
      <t xml:space="preserve">5.6</t>
    </r>
    <r>
      <rPr>
        <sz val="10"/>
        <rFont val="Noto Sans CJK SC"/>
        <family val="2"/>
        <charset val="1"/>
      </rPr>
      <t xml:space="preserve">초 후에 닫는다면 끼는 사람</t>
    </r>
    <r>
      <rPr>
        <sz val="10"/>
        <rFont val="Arial"/>
        <family val="2"/>
        <charset val="1"/>
      </rPr>
      <t xml:space="preserve">?</t>
    </r>
  </si>
  <si>
    <t xml:space="preserve">Mode</t>
  </si>
  <si>
    <r>
      <rPr>
        <sz val="10"/>
        <rFont val="Arial"/>
        <family val="2"/>
        <charset val="1"/>
      </rPr>
      <t xml:space="preserve">6.6</t>
    </r>
    <r>
      <rPr>
        <sz val="10"/>
        <rFont val="Noto Sans CJK SC"/>
        <family val="2"/>
        <charset val="1"/>
      </rPr>
      <t xml:space="preserve">초 후에 닫는다면</t>
    </r>
    <r>
      <rPr>
        <sz val="10"/>
        <rFont val="Arial"/>
        <family val="2"/>
        <charset val="1"/>
      </rPr>
      <t xml:space="preserve">?</t>
    </r>
  </si>
  <si>
    <t xml:space="preserve">Conservative</t>
  </si>
  <si>
    <t xml:space="preserve">Neutral</t>
  </si>
  <si>
    <t xml:space="preserve">Aggressive</t>
  </si>
  <si>
    <r>
      <rPr>
        <sz val="10"/>
        <rFont val="Arial"/>
        <family val="2"/>
        <charset val="1"/>
      </rPr>
      <t xml:space="preserve">7.6</t>
    </r>
    <r>
      <rPr>
        <sz val="10"/>
        <rFont val="Noto Sans CJK SC"/>
        <family val="2"/>
        <charset val="1"/>
      </rPr>
      <t xml:space="preserve">초</t>
    </r>
    <r>
      <rPr>
        <sz val="10"/>
        <rFont val="Arial"/>
        <family val="2"/>
        <charset val="1"/>
      </rPr>
      <t xml:space="preserve">?</t>
    </r>
  </si>
  <si>
    <t xml:space="preserve">constant</t>
  </si>
  <si>
    <t xml:space="preserve">d_stair [m]</t>
  </si>
  <si>
    <t xml:space="preserve">d_platform [m]</t>
  </si>
  <si>
    <t xml:space="preserve">t_door [s]</t>
  </si>
  <si>
    <t xml:space="preserve">variables</t>
  </si>
  <si>
    <t xml:space="preserve">T_stair [s]</t>
  </si>
  <si>
    <t xml:space="preserve">T_floor [s]</t>
  </si>
  <si>
    <t xml:space="preserve">T_stair + T_floor [s]</t>
  </si>
  <si>
    <t xml:space="preserve">T_s0_to_s1 [s]</t>
  </si>
  <si>
    <t xml:space="preserve">s_threshold [m], (from top)</t>
  </si>
  <si>
    <t xml:space="preserve">s_th [m] from door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</si>
</sst>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Noto Sans CJK SC"/>
      <family val="2"/>
      <charset val="1"/>
    </font>
    <font>
      <b val="true"/>
      <sz val="10"/>
      <name val="Noto Sans CJK SC"/>
      <family val="2"/>
    </font>
    <font>
      <sz val="10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FFD8CE"/>
        <bgColor rgb="FFF6F9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0"/>
  <sheetViews>
    <sheetView showFormulas="false" showGridLines="true" showRowColHeaders="true" showZeros="true" rightToLeft="false" tabSelected="true" showOutlineSymbols="true" defaultGridColor="true" view="normal" topLeftCell="F55" colorId="64" zoomScale="100" zoomScaleNormal="100" zoomScalePageLayoutView="100" workbookViewId="0">
      <selection pane="topLeft" activeCell="J81" activeCellId="0" sqref="J8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48"/>
    <col collapsed="false" customWidth="true" hidden="false" outlineLevel="0" max="2" min="2" style="1" width="18.41"/>
    <col collapsed="false" customWidth="true" hidden="false" outlineLevel="0" max="3" min="3" style="1" width="13.19"/>
    <col collapsed="false" customWidth="true" hidden="false" outlineLevel="0" max="4" min="4" style="1" width="13.65"/>
    <col collapsed="false" customWidth="true" hidden="false" outlineLevel="0" max="5" min="5" style="1" width="13.75"/>
    <col collapsed="false" customWidth="true" hidden="false" outlineLevel="0" max="6" min="6" style="1" width="7.74"/>
    <col collapsed="false" customWidth="true" hidden="false" outlineLevel="0" max="7" min="7" style="1" width="26.76"/>
    <col collapsed="false" customWidth="true" hidden="false" outlineLevel="0" max="8" min="8" style="1" width="17.36"/>
    <col collapsed="false" customWidth="true" hidden="false" outlineLevel="0" max="9" min="9" style="2" width="21.43"/>
    <col collapsed="false" customWidth="true" hidden="false" outlineLevel="0" max="10" min="10" style="2" width="37.34"/>
    <col collapsed="false" customWidth="true" hidden="false" outlineLevel="0" max="11" min="11" style="2" width="38.12"/>
    <col collapsed="false" customWidth="true" hidden="false" outlineLevel="0" max="13" min="12" style="2" width="36.61"/>
    <col collapsed="false" customWidth="false" hidden="false" outlineLevel="0" max="18" min="14" style="2" width="11.53"/>
    <col collapsed="false" customWidth="false" hidden="false" outlineLevel="0" max="16384" min="19" style="1" width="11.53"/>
  </cols>
  <sheetData>
    <row r="1" customFormat="false" ht="41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O1" s="8" t="s">
        <v>13</v>
      </c>
      <c r="P1" s="8"/>
      <c r="Q1" s="8"/>
      <c r="R1" s="8" t="s">
        <v>14</v>
      </c>
      <c r="S1" s="8"/>
      <c r="T1" s="8"/>
    </row>
    <row r="2" customFormat="false" ht="41" hidden="false" customHeight="false" outlineLevel="0" collapsed="false">
      <c r="A2" s="3"/>
      <c r="B2" s="4"/>
      <c r="C2" s="5"/>
      <c r="D2" s="5"/>
      <c r="E2" s="5"/>
      <c r="F2" s="4"/>
      <c r="G2" s="6"/>
      <c r="H2" s="6"/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O2" s="2" t="n">
        <v>4.19</v>
      </c>
      <c r="P2" s="2" t="n">
        <v>6.33</v>
      </c>
      <c r="Q2" s="2" t="n">
        <v>8.09</v>
      </c>
      <c r="R2" s="2" t="n">
        <v>0.78</v>
      </c>
      <c r="S2" s="1" t="n">
        <v>0.4</v>
      </c>
      <c r="T2" s="1" t="n">
        <v>0.52</v>
      </c>
    </row>
    <row r="3" customFormat="false" ht="12.8" hidden="false" customHeight="false" outlineLevel="0" collapsed="false">
      <c r="A3" s="9" t="n">
        <v>1</v>
      </c>
      <c r="B3" s="10" t="n">
        <f aca="false">(D3-C3)/30</f>
        <v>5.63333333333333</v>
      </c>
      <c r="C3" s="11" t="n">
        <v>14560</v>
      </c>
      <c r="D3" s="11" t="n">
        <v>14729</v>
      </c>
      <c r="E3" s="11" t="n">
        <v>14829</v>
      </c>
      <c r="F3" s="10" t="n">
        <f aca="false">(E3-D3)/30</f>
        <v>3.33333333333333</v>
      </c>
      <c r="G3" s="9"/>
      <c r="H3" s="9" t="str">
        <f aca="false">IF(4.6-F3&lt;0, "x","o")</f>
        <v>o</v>
      </c>
      <c r="I3" s="10" t="n">
        <f aca="false">B3+F3</f>
        <v>8.96666666666666</v>
      </c>
      <c r="J3" s="12" t="n">
        <f aca="false">B3*(3.28-0.25)/3.28 + F3</f>
        <v>8.53729674796747</v>
      </c>
      <c r="K3" s="12" t="n">
        <f aca="false">B3*(3.28-$C$79)/3.28 + F3</f>
        <v>6.17016706443913</v>
      </c>
      <c r="L3" s="10" t="n">
        <f aca="false">B3*(3.28-$D$79)/3.28 + F3</f>
        <v>4.46355976829909</v>
      </c>
      <c r="M3" s="10" t="n">
        <f aca="false">B3*(3.28-$E$79)/3.28 + F3</f>
        <v>3.34724279835391</v>
      </c>
      <c r="N3" s="2" t="s">
        <v>20</v>
      </c>
      <c r="O3" s="2" t="n">
        <f aca="false">3.28*(4.6-2.5)/O2</f>
        <v>1.64391408114558</v>
      </c>
      <c r="P3" s="2" t="n">
        <f aca="false">3.28*(4.6-2.5)/P2</f>
        <v>1.08815165876777</v>
      </c>
      <c r="Q3" s="2" t="n">
        <f aca="false">3.28*(4.6-2.5)/Q2</f>
        <v>0.85142150803461</v>
      </c>
      <c r="R3" s="2" t="n">
        <f aca="false">3.28/R2</f>
        <v>4.2051282051282</v>
      </c>
      <c r="S3" s="1" t="n">
        <f aca="false">3.28/S2</f>
        <v>8.2</v>
      </c>
      <c r="T3" s="1" t="n">
        <f aca="false">3.28/T2</f>
        <v>6.30769230769231</v>
      </c>
      <c r="U3" s="1" t="s">
        <v>13</v>
      </c>
    </row>
    <row r="4" customFormat="false" ht="15.65" hidden="false" customHeight="false" outlineLevel="0" collapsed="false">
      <c r="A4" s="9" t="n">
        <v>2</v>
      </c>
      <c r="B4" s="10" t="n">
        <f aca="false">(D4-C4)/30</f>
        <v>4.86666666666667</v>
      </c>
      <c r="C4" s="11" t="n">
        <v>1939</v>
      </c>
      <c r="D4" s="11" t="n">
        <v>2085</v>
      </c>
      <c r="E4" s="11" t="n">
        <v>2314</v>
      </c>
      <c r="F4" s="10" t="n">
        <f aca="false">(E4-D4)/30</f>
        <v>7.63333333333333</v>
      </c>
      <c r="G4" s="13" t="s">
        <v>21</v>
      </c>
      <c r="H4" s="9" t="str">
        <f aca="false">IF(4.6-F4&lt;0, "x","o")</f>
        <v>x</v>
      </c>
      <c r="I4" s="10" t="n">
        <f aca="false">B4+F4</f>
        <v>12.5</v>
      </c>
      <c r="J4" s="12" t="n">
        <f aca="false">B4*(3.28-0.25)/3.28 + F4</f>
        <v>12.1290650406504</v>
      </c>
      <c r="K4" s="12" t="n">
        <f aca="false">B4*(3.28-$C$79)/3.28 + F4</f>
        <v>10.0840891010342</v>
      </c>
      <c r="L4" s="10" t="n">
        <f aca="false">B4*(3.28-$D$79)/3.28 + F4</f>
        <v>8.6097419694576</v>
      </c>
      <c r="M4" s="10" t="n">
        <f aca="false">B4*(3.28-$E$79)/3.28 + F4</f>
        <v>7.64534979423868</v>
      </c>
      <c r="O4" s="2" t="n">
        <f aca="false">6+O3</f>
        <v>7.64391408114558</v>
      </c>
      <c r="P4" s="2" t="n">
        <f aca="false">6+P3</f>
        <v>7.08815165876777</v>
      </c>
      <c r="Q4" s="2" t="n">
        <f aca="false">6+Q3</f>
        <v>6.85142150803461</v>
      </c>
      <c r="R4" s="14" t="n">
        <f aca="false">3.28*(4.6-2.5)/R3</f>
        <v>1.638</v>
      </c>
      <c r="S4" s="14" t="n">
        <f aca="false">3.28*(4.6-2.5)/S3</f>
        <v>0.84</v>
      </c>
      <c r="T4" s="14" t="n">
        <f aca="false">3.28*(4.6-2.5)/T3</f>
        <v>1.092</v>
      </c>
      <c r="U4" s="1" t="s">
        <v>20</v>
      </c>
    </row>
    <row r="5" customFormat="false" ht="12.8" hidden="false" customHeight="false" outlineLevel="0" collapsed="false">
      <c r="A5" s="9" t="n">
        <v>2</v>
      </c>
      <c r="B5" s="10" t="n">
        <f aca="false">(D5-C5)/30</f>
        <v>7.56666666666667</v>
      </c>
      <c r="C5" s="11" t="n">
        <v>1960</v>
      </c>
      <c r="D5" s="11" t="n">
        <v>2187</v>
      </c>
      <c r="E5" s="11" t="n">
        <v>2322</v>
      </c>
      <c r="F5" s="10" t="n">
        <f aca="false">(E5-D5)/30</f>
        <v>4.5</v>
      </c>
      <c r="G5" s="9"/>
      <c r="H5" s="9" t="str">
        <f aca="false">IF(4.6-F5&lt;0, "x","o")</f>
        <v>o</v>
      </c>
      <c r="I5" s="10" t="n">
        <f aca="false">B5+F5</f>
        <v>12.0666666666667</v>
      </c>
      <c r="J5" s="12" t="n">
        <f aca="false">B5*(3.28-0.25)/3.28 + F5</f>
        <v>11.4899390243902</v>
      </c>
      <c r="K5" s="12" t="n">
        <f aca="false">B5*(3.28-$C$79)/3.28 + F5</f>
        <v>8.31042163882259</v>
      </c>
      <c r="L5" s="10" t="n">
        <f aca="false">B5*(3.28-$D$79)/3.28 + F5</f>
        <v>6.01811479726171</v>
      </c>
      <c r="M5" s="10" t="n">
        <f aca="false">B5*(3.28-$E$79)/3.28 + F5</f>
        <v>4.51868312757202</v>
      </c>
      <c r="N5" s="2" t="s">
        <v>22</v>
      </c>
      <c r="O5" s="2" t="n">
        <f aca="false">6+3.28-O4</f>
        <v>1.63608591885442</v>
      </c>
      <c r="P5" s="2" t="n">
        <f aca="false">6+3.28-P4</f>
        <v>2.19184834123223</v>
      </c>
      <c r="Q5" s="2" t="n">
        <f aca="false">6+3.28-Q4</f>
        <v>2.42857849196539</v>
      </c>
      <c r="R5" s="2" t="n">
        <f aca="false">3.28-R4</f>
        <v>1.642</v>
      </c>
      <c r="S5" s="2" t="n">
        <f aca="false">3.28-S4</f>
        <v>2.44</v>
      </c>
      <c r="T5" s="2" t="n">
        <f aca="false">3.28-T4</f>
        <v>2.188</v>
      </c>
    </row>
    <row r="6" customFormat="false" ht="12.8" hidden="false" customHeight="false" outlineLevel="0" collapsed="false">
      <c r="A6" s="9" t="n">
        <v>2</v>
      </c>
      <c r="B6" s="10" t="n">
        <f aca="false">(D6-C6)/30</f>
        <v>7.8</v>
      </c>
      <c r="C6" s="11" t="n">
        <v>1996</v>
      </c>
      <c r="D6" s="11" t="n">
        <v>2230</v>
      </c>
      <c r="E6" s="11" t="n">
        <v>2343</v>
      </c>
      <c r="F6" s="10" t="n">
        <f aca="false">(E6-D6)/30</f>
        <v>3.76666666666667</v>
      </c>
      <c r="G6" s="9"/>
      <c r="H6" s="9" t="str">
        <f aca="false">IF(4.6-F6&lt;0, "x","o")</f>
        <v>o</v>
      </c>
      <c r="I6" s="10" t="n">
        <f aca="false">B6+F6</f>
        <v>11.5666666666667</v>
      </c>
      <c r="J6" s="12" t="n">
        <f aca="false">B6*(3.28-0.25)/3.28 + F6</f>
        <v>10.9721544715447</v>
      </c>
      <c r="K6" s="12" t="n">
        <f aca="false">B6*(3.28-$C$79)/3.28 + F6</f>
        <v>7.69459029435162</v>
      </c>
      <c r="L6" s="10" t="n">
        <f aca="false">B6*(3.28-$D$79)/3.28 + F6</f>
        <v>5.33159557661927</v>
      </c>
      <c r="M6" s="10" t="n">
        <f aca="false">B6*(3.28-$E$79)/3.28 + F6</f>
        <v>3.78592592592593</v>
      </c>
    </row>
    <row r="7" customFormat="false" ht="12.8" hidden="false" customHeight="false" outlineLevel="0" collapsed="false">
      <c r="A7" s="9" t="n">
        <v>2</v>
      </c>
      <c r="B7" s="10" t="n">
        <f aca="false">(D7-C7)/30</f>
        <v>6.66666666666667</v>
      </c>
      <c r="C7" s="11" t="n">
        <v>42743</v>
      </c>
      <c r="D7" s="11" t="n">
        <v>42943</v>
      </c>
      <c r="E7" s="11" t="n">
        <v>43024</v>
      </c>
      <c r="F7" s="10" t="n">
        <f aca="false">(E7-D7)/30</f>
        <v>2.7</v>
      </c>
      <c r="G7" s="9"/>
      <c r="H7" s="9" t="str">
        <f aca="false">IF(4.6-F7&lt;0, "x","o")</f>
        <v>o</v>
      </c>
      <c r="I7" s="10" t="n">
        <f aca="false">B7+F7</f>
        <v>9.36666666666667</v>
      </c>
      <c r="J7" s="12" t="n">
        <f aca="false">B7*(3.28-0.25)/3.28 + F7</f>
        <v>8.85853658536586</v>
      </c>
      <c r="K7" s="12" t="n">
        <f aca="false">B7*(3.28-$C$79)/3.28 + F7</f>
        <v>6.05719968178202</v>
      </c>
      <c r="L7" s="10" t="n">
        <f aca="false">B7*(3.28-$D$79)/3.28 + F7</f>
        <v>4.03754607688256</v>
      </c>
      <c r="M7" s="10" t="n">
        <f aca="false">B7*(3.28-$E$79)/3.28 + F7</f>
        <v>2.7164609053498</v>
      </c>
    </row>
    <row r="8" customFormat="false" ht="12.8" hidden="false" customHeight="false" outlineLevel="0" collapsed="false">
      <c r="A8" s="9" t="n">
        <v>2</v>
      </c>
      <c r="B8" s="10" t="n">
        <f aca="false">(D8-C8)/30</f>
        <v>4.73333333333333</v>
      </c>
      <c r="C8" s="11" t="n">
        <v>52070</v>
      </c>
      <c r="D8" s="11" t="n">
        <v>52212</v>
      </c>
      <c r="E8" s="11" t="n">
        <v>52316</v>
      </c>
      <c r="F8" s="10" t="n">
        <f aca="false">(E8-D8)/30</f>
        <v>3.46666666666667</v>
      </c>
      <c r="G8" s="9"/>
      <c r="H8" s="9" t="str">
        <f aca="false">IF(4.6-F8&lt;0, "x","o")</f>
        <v>o</v>
      </c>
      <c r="I8" s="10" t="n">
        <f aca="false">B8+F8</f>
        <v>8.2</v>
      </c>
      <c r="J8" s="12" t="n">
        <f aca="false">B8*(3.28-0.25)/3.28 + F8</f>
        <v>7.83922764227642</v>
      </c>
      <c r="K8" s="12" t="n">
        <f aca="false">B8*(3.28-$C$79)/3.28 + F8</f>
        <v>5.8502784407319</v>
      </c>
      <c r="L8" s="10" t="n">
        <f aca="false">B8*(3.28-$D$79)/3.28 + F8</f>
        <v>4.41632438125329</v>
      </c>
      <c r="M8" s="10" t="n">
        <f aca="false">B8*(3.28-$E$79)/3.28 + F8</f>
        <v>3.47835390946503</v>
      </c>
    </row>
    <row r="9" customFormat="false" ht="12.8" hidden="false" customHeight="false" outlineLevel="0" collapsed="false">
      <c r="A9" s="9" t="n">
        <v>2</v>
      </c>
      <c r="B9" s="10" t="n">
        <f aca="false">(D9-C9)/30</f>
        <v>6.33333333333333</v>
      </c>
      <c r="C9" s="11" t="n">
        <v>76460</v>
      </c>
      <c r="D9" s="11" t="n">
        <v>76650</v>
      </c>
      <c r="E9" s="11" t="n">
        <v>76721</v>
      </c>
      <c r="F9" s="10" t="n">
        <f aca="false">(E9-D9)/30</f>
        <v>2.36666666666667</v>
      </c>
      <c r="G9" s="9"/>
      <c r="H9" s="9" t="str">
        <f aca="false">IF(4.6-F9&lt;0, "x","o")</f>
        <v>o</v>
      </c>
      <c r="I9" s="10" t="n">
        <f aca="false">B9+F9</f>
        <v>8.7</v>
      </c>
      <c r="J9" s="12" t="n">
        <f aca="false">B9*(3.28-0.25)/3.28 + F9</f>
        <v>8.21727642276423</v>
      </c>
      <c r="K9" s="12" t="n">
        <f aca="false">B9*(3.28-$C$79)/3.28 + F9</f>
        <v>5.55600636435958</v>
      </c>
      <c r="L9" s="10" t="n">
        <f aca="false">B9*(3.28-$D$79)/3.28 + F9</f>
        <v>3.6373354397051</v>
      </c>
      <c r="M9" s="10" t="n">
        <f aca="false">B9*(3.28-$E$79)/3.28 + F9</f>
        <v>2.38230452674898</v>
      </c>
    </row>
    <row r="10" customFormat="false" ht="12.8" hidden="false" customHeight="false" outlineLevel="0" collapsed="false">
      <c r="A10" s="9" t="n">
        <v>2</v>
      </c>
      <c r="B10" s="10" t="n">
        <f aca="false">(D10-C10)/30</f>
        <v>5.96666666666667</v>
      </c>
      <c r="C10" s="11" t="n">
        <v>104304</v>
      </c>
      <c r="D10" s="11" t="n">
        <v>104483</v>
      </c>
      <c r="E10" s="11" t="n">
        <v>104603</v>
      </c>
      <c r="F10" s="10" t="n">
        <f aca="false">(E10-D10)/30</f>
        <v>4</v>
      </c>
      <c r="G10" s="9"/>
      <c r="H10" s="9" t="str">
        <f aca="false">IF(4.6-F10&lt;0, "x","o")</f>
        <v>o</v>
      </c>
      <c r="I10" s="10" t="n">
        <f aca="false">B10+F10</f>
        <v>9.96666666666667</v>
      </c>
      <c r="J10" s="12" t="n">
        <f aca="false">B10*(3.28-0.25)/3.28 + F10</f>
        <v>9.51189024390244</v>
      </c>
      <c r="K10" s="12" t="n">
        <f aca="false">B10*(3.28-$C$79)/3.28 + F10</f>
        <v>7.0046937151949</v>
      </c>
      <c r="L10" s="10" t="n">
        <f aca="false">B10*(3.28-$D$79)/3.28 + F10</f>
        <v>5.19710373880989</v>
      </c>
      <c r="M10" s="10" t="n">
        <f aca="false">B10*(3.28-$E$79)/3.28 + F10</f>
        <v>4.01473251028807</v>
      </c>
    </row>
    <row r="11" customFormat="false" ht="12.8" hidden="false" customHeight="false" outlineLevel="0" collapsed="false">
      <c r="A11" s="9" t="n">
        <v>2</v>
      </c>
      <c r="B11" s="10" t="n">
        <f aca="false">(D11-C11)/30</f>
        <v>5.36666666666667</v>
      </c>
      <c r="C11" s="11" t="n">
        <v>104430</v>
      </c>
      <c r="D11" s="11" t="n">
        <v>104591</v>
      </c>
      <c r="E11" s="11" t="n">
        <v>104670</v>
      </c>
      <c r="F11" s="10" t="n">
        <f aca="false">(E11-D11)/30</f>
        <v>2.63333333333333</v>
      </c>
      <c r="G11" s="9"/>
      <c r="H11" s="9" t="str">
        <f aca="false">IF(4.6-F11&lt;0, "x","o")</f>
        <v>o</v>
      </c>
      <c r="I11" s="10" t="n">
        <f aca="false">B11+F11</f>
        <v>8</v>
      </c>
      <c r="J11" s="12" t="n">
        <f aca="false">B11*(3.28-0.25)/3.28 + F11</f>
        <v>7.59095528455285</v>
      </c>
      <c r="K11" s="12" t="n">
        <f aca="false">B11*(3.28-$C$79)/3.28 + F11</f>
        <v>5.33587907716785</v>
      </c>
      <c r="L11" s="10" t="n">
        <f aca="false">B11*(3.28-$D$79)/3.28 + F11</f>
        <v>3.71005792522379</v>
      </c>
      <c r="M11" s="10" t="n">
        <f aca="false">B11*(3.28-$E$79)/3.28 + F11</f>
        <v>2.64658436213992</v>
      </c>
      <c r="O11" s="2" t="n">
        <f aca="false">2.62-0.25</f>
        <v>2.37</v>
      </c>
    </row>
    <row r="12" customFormat="false" ht="12.8" hidden="false" customHeight="false" outlineLevel="0" collapsed="false">
      <c r="A12" s="9" t="n">
        <v>2</v>
      </c>
      <c r="B12" s="10" t="n">
        <f aca="false">(D12-C12)/30</f>
        <v>7.03333333333333</v>
      </c>
      <c r="C12" s="11" t="n">
        <v>104589</v>
      </c>
      <c r="D12" s="11" t="n">
        <v>104800</v>
      </c>
      <c r="E12" s="11" t="n">
        <v>104920</v>
      </c>
      <c r="F12" s="10" t="n">
        <f aca="false">(E12-D12)/30</f>
        <v>4</v>
      </c>
      <c r="G12" s="9"/>
      <c r="H12" s="9" t="str">
        <f aca="false">IF(4.6-F12&lt;0, "x","o")</f>
        <v>o</v>
      </c>
      <c r="I12" s="10" t="n">
        <f aca="false">B12+F12</f>
        <v>11.0333333333333</v>
      </c>
      <c r="J12" s="12" t="n">
        <f aca="false">B12*(3.28-0.25)/3.28 + F12</f>
        <v>10.497256097561</v>
      </c>
      <c r="K12" s="12" t="n">
        <f aca="false">B12*(3.28-$C$79)/3.28 + F12</f>
        <v>7.54184566428002</v>
      </c>
      <c r="L12" s="10" t="n">
        <f aca="false">B12*(3.28-$D$79)/3.28 + F12</f>
        <v>5.4111111111111</v>
      </c>
      <c r="M12" s="10" t="n">
        <f aca="false">B12*(3.28-$E$79)/3.28 + F12</f>
        <v>4.01736625514404</v>
      </c>
    </row>
    <row r="13" customFormat="false" ht="12.8" hidden="false" customHeight="false" outlineLevel="0" collapsed="false">
      <c r="A13" s="9" t="n">
        <v>2</v>
      </c>
      <c r="B13" s="10" t="n">
        <f aca="false">(D13-C13)/30</f>
        <v>6.7</v>
      </c>
      <c r="C13" s="11" t="n">
        <v>113420</v>
      </c>
      <c r="D13" s="11" t="n">
        <v>113621</v>
      </c>
      <c r="E13" s="11" t="n">
        <v>113703</v>
      </c>
      <c r="F13" s="10" t="n">
        <f aca="false">(E13-D13)/30</f>
        <v>2.73333333333333</v>
      </c>
      <c r="G13" s="9"/>
      <c r="H13" s="9" t="str">
        <f aca="false">IF(4.6-F13&lt;0, "x","o")</f>
        <v>o</v>
      </c>
      <c r="I13" s="10" t="n">
        <f aca="false">B13+F13</f>
        <v>9.43333333333333</v>
      </c>
      <c r="J13" s="12" t="n">
        <f aca="false">B13*(3.28-0.25)/3.28 + F13</f>
        <v>8.92266260162601</v>
      </c>
      <c r="K13" s="12" t="n">
        <f aca="false">B13*(3.28-$C$79)/3.28 + F13</f>
        <v>6.10731901352425</v>
      </c>
      <c r="L13" s="10" t="n">
        <f aca="false">B13*(3.28-$D$79)/3.28 + F13</f>
        <v>4.0775671406003</v>
      </c>
      <c r="M13" s="10" t="n">
        <f aca="false">B13*(3.28-$E$79)/3.28 + F13</f>
        <v>2.74987654320988</v>
      </c>
    </row>
    <row r="14" customFormat="false" ht="12.8" hidden="false" customHeight="false" outlineLevel="0" collapsed="false">
      <c r="A14" s="9" t="n">
        <v>2</v>
      </c>
      <c r="B14" s="10" t="n">
        <f aca="false">(D14-C14)/30</f>
        <v>6.86666666666667</v>
      </c>
      <c r="C14" s="11" t="n">
        <v>113424</v>
      </c>
      <c r="D14" s="11" t="n">
        <v>113630</v>
      </c>
      <c r="E14" s="11" t="n">
        <v>113733</v>
      </c>
      <c r="F14" s="10" t="n">
        <f aca="false">(E14-D14)/30</f>
        <v>3.43333333333333</v>
      </c>
      <c r="G14" s="9"/>
      <c r="H14" s="9" t="str">
        <f aca="false">IF(4.6-F14&lt;0, "x","o")</f>
        <v>o</v>
      </c>
      <c r="I14" s="10" t="n">
        <f aca="false">B14+F14</f>
        <v>10.3</v>
      </c>
      <c r="J14" s="12" t="n">
        <f aca="false">B14*(3.28-0.25)/3.28 + F14</f>
        <v>9.77662601626016</v>
      </c>
      <c r="K14" s="12" t="n">
        <f aca="false">B14*(3.28-$C$79)/3.28 + F14</f>
        <v>6.8912490055688</v>
      </c>
      <c r="L14" s="10" t="n">
        <f aca="false">B14*(3.28-$D$79)/3.28 + F14</f>
        <v>4.81100579252237</v>
      </c>
      <c r="M14" s="10" t="n">
        <f aca="false">B14*(3.28-$E$79)/3.28 + F14</f>
        <v>3.45028806584362</v>
      </c>
    </row>
    <row r="15" customFormat="false" ht="12.8" hidden="false" customHeight="false" outlineLevel="0" collapsed="false">
      <c r="A15" s="9" t="n">
        <v>2</v>
      </c>
      <c r="B15" s="10" t="n">
        <f aca="false">(D15-C15)/30</f>
        <v>3.66666666666667</v>
      </c>
      <c r="C15" s="11" t="n">
        <v>122860</v>
      </c>
      <c r="D15" s="11" t="n">
        <v>122970</v>
      </c>
      <c r="E15" s="11" t="n">
        <v>123062</v>
      </c>
      <c r="F15" s="10" t="n">
        <f aca="false">(E15-D15)/30</f>
        <v>3.06666666666667</v>
      </c>
      <c r="G15" s="9"/>
      <c r="H15" s="9" t="str">
        <f aca="false">IF(4.6-F15&lt;0, "x","o")</f>
        <v>o</v>
      </c>
      <c r="I15" s="10" t="n">
        <f aca="false">B15+F15</f>
        <v>6.73333333333334</v>
      </c>
      <c r="J15" s="12" t="n">
        <f aca="false">B15*(3.28-0.25)/3.28 + F15</f>
        <v>6.45386178861789</v>
      </c>
      <c r="K15" s="12" t="n">
        <f aca="false">B15*(3.28-$C$79)/3.28 + F15</f>
        <v>4.91312649164678</v>
      </c>
      <c r="L15" s="10" t="n">
        <f aca="false">B15*(3.28-$D$79)/3.28 + F15</f>
        <v>3.80231700895208</v>
      </c>
      <c r="M15" s="10" t="n">
        <f aca="false">B15*(3.28-$E$79)/3.28 + F15</f>
        <v>3.07572016460906</v>
      </c>
    </row>
    <row r="16" customFormat="false" ht="12.8" hidden="false" customHeight="false" outlineLevel="0" collapsed="false">
      <c r="A16" s="9" t="n">
        <v>2</v>
      </c>
      <c r="B16" s="10" t="n">
        <f aca="false">(D16-C16)/30</f>
        <v>6.66666666666667</v>
      </c>
      <c r="C16" s="11" t="n">
        <v>130980</v>
      </c>
      <c r="D16" s="11" t="n">
        <v>131180</v>
      </c>
      <c r="E16" s="11" t="n">
        <v>131270</v>
      </c>
      <c r="F16" s="10" t="n">
        <f aca="false">(E16-D16)/30</f>
        <v>3</v>
      </c>
      <c r="G16" s="9"/>
      <c r="H16" s="9" t="str">
        <f aca="false">IF(4.6-F16&lt;0, "x","o")</f>
        <v>o</v>
      </c>
      <c r="I16" s="10" t="n">
        <f aca="false">B16+F16</f>
        <v>9.66666666666667</v>
      </c>
      <c r="J16" s="12" t="n">
        <f aca="false">B16*(3.28-0.25)/3.28 + F16</f>
        <v>9.15853658536586</v>
      </c>
      <c r="K16" s="12" t="n">
        <f aca="false">B16*(3.28-$C$79)/3.28 + F16</f>
        <v>6.35719968178201</v>
      </c>
      <c r="L16" s="10" t="n">
        <f aca="false">B16*(3.28-$D$79)/3.28 + F16</f>
        <v>4.33754607688256</v>
      </c>
      <c r="M16" s="10" t="n">
        <f aca="false">B16*(3.28-$E$79)/3.28 + F16</f>
        <v>3.0164609053498</v>
      </c>
    </row>
    <row r="17" customFormat="false" ht="12.8" hidden="false" customHeight="false" outlineLevel="0" collapsed="false">
      <c r="A17" s="9" t="n">
        <v>2</v>
      </c>
      <c r="B17" s="10" t="n">
        <f aca="false">(D17-C17)/30</f>
        <v>6.36666666666667</v>
      </c>
      <c r="C17" s="11" t="n">
        <v>147407</v>
      </c>
      <c r="D17" s="11" t="n">
        <v>147598</v>
      </c>
      <c r="E17" s="11" t="n">
        <v>147689</v>
      </c>
      <c r="F17" s="10" t="n">
        <f aca="false">(E17-D17)/30</f>
        <v>3.03333333333333</v>
      </c>
      <c r="G17" s="9"/>
      <c r="H17" s="9" t="str">
        <f aca="false">IF(4.6-F17&lt;0, "x","o")</f>
        <v>o</v>
      </c>
      <c r="I17" s="10" t="n">
        <f aca="false">B17+F17</f>
        <v>9.4</v>
      </c>
      <c r="J17" s="12" t="n">
        <f aca="false">B17*(3.28-0.25)/3.28 + F17</f>
        <v>8.91473577235772</v>
      </c>
      <c r="K17" s="12" t="n">
        <f aca="false">B17*(3.28-$C$79)/3.28 + F17</f>
        <v>6.23945902943515</v>
      </c>
      <c r="L17" s="10" t="n">
        <f aca="false">B17*(3.28-$D$79)/3.28 + F17</f>
        <v>4.31068983675618</v>
      </c>
      <c r="M17" s="10" t="n">
        <f aca="false">B17*(3.28-$E$79)/3.28 + F17</f>
        <v>3.04905349794239</v>
      </c>
    </row>
    <row r="18" customFormat="false" ht="12.8" hidden="false" customHeight="false" outlineLevel="0" collapsed="false">
      <c r="A18" s="9" t="n">
        <v>3</v>
      </c>
      <c r="B18" s="10" t="n">
        <f aca="false">(D18-C18)/30</f>
        <v>4.56666666666667</v>
      </c>
      <c r="C18" s="11" t="n">
        <v>48433</v>
      </c>
      <c r="D18" s="11" t="n">
        <v>48570</v>
      </c>
      <c r="E18" s="11" t="n">
        <v>48652</v>
      </c>
      <c r="F18" s="10" t="n">
        <f aca="false">(E18-D18)/30</f>
        <v>2.73333333333333</v>
      </c>
      <c r="G18" s="9"/>
      <c r="H18" s="9" t="str">
        <f aca="false">IF(4.6-F18&lt;0, "x","o")</f>
        <v>o</v>
      </c>
      <c r="I18" s="10" t="n">
        <f aca="false">B18+F18</f>
        <v>7.3</v>
      </c>
      <c r="J18" s="12" t="n">
        <f aca="false">B18*(3.28-0.25)/3.28 + F18</f>
        <v>6.95193089430894</v>
      </c>
      <c r="K18" s="12" t="n">
        <f aca="false">B18*(3.28-$C$79)/3.28 + F18</f>
        <v>5.03301511535401</v>
      </c>
      <c r="L18" s="10" t="n">
        <f aca="false">B18*(3.28-$D$79)/3.28 + F18</f>
        <v>3.64955239599788</v>
      </c>
      <c r="M18" s="10" t="n">
        <f aca="false">B18*(3.28-$E$79)/3.28 + F18</f>
        <v>2.74460905349794</v>
      </c>
    </row>
    <row r="19" customFormat="false" ht="12.8" hidden="false" customHeight="false" outlineLevel="0" collapsed="false">
      <c r="A19" s="9" t="n">
        <v>3</v>
      </c>
      <c r="B19" s="10" t="n">
        <f aca="false">(D19-C19)/30</f>
        <v>5.03333333333333</v>
      </c>
      <c r="C19" s="11" t="n">
        <v>64475</v>
      </c>
      <c r="D19" s="11" t="n">
        <v>64626</v>
      </c>
      <c r="E19" s="11" t="n">
        <v>64760</v>
      </c>
      <c r="F19" s="10" t="n">
        <f aca="false">(E19-D19)/30</f>
        <v>4.46666666666667</v>
      </c>
      <c r="G19" s="10" t="s">
        <v>23</v>
      </c>
      <c r="H19" s="9" t="str">
        <f aca="false">IF(4.6-F19&lt;0, "x","o")</f>
        <v>o</v>
      </c>
      <c r="I19" s="10" t="n">
        <f aca="false">B19+F19</f>
        <v>9.5</v>
      </c>
      <c r="J19" s="12" t="n">
        <f aca="false">B19*(3.28-0.25)/3.28 + F19</f>
        <v>9.11636178861789</v>
      </c>
      <c r="K19" s="12" t="n">
        <f aca="false">B19*(3.28-$C$79)/3.28 + F19</f>
        <v>7.00135242641209</v>
      </c>
      <c r="L19" s="10" t="n">
        <f aca="false">B19*(3.28-$D$79)/3.28 + F19</f>
        <v>5.476513954713</v>
      </c>
      <c r="M19" s="10" t="n">
        <f aca="false">B19*(3.28-$E$79)/3.28 + F19</f>
        <v>4.47909465020577</v>
      </c>
    </row>
    <row r="20" customFormat="false" ht="12.8" hidden="false" customHeight="false" outlineLevel="0" collapsed="false">
      <c r="A20" s="9" t="n">
        <v>3</v>
      </c>
      <c r="B20" s="10" t="n">
        <f aca="false">(D20-C20)/30</f>
        <v>5.13333333333333</v>
      </c>
      <c r="C20" s="11" t="n">
        <v>64476</v>
      </c>
      <c r="D20" s="11" t="n">
        <v>64630</v>
      </c>
      <c r="E20" s="11" t="n">
        <v>64791</v>
      </c>
      <c r="F20" s="10" t="n">
        <f aca="false">(E20-D20)/30</f>
        <v>5.36666666666667</v>
      </c>
      <c r="G20" s="10" t="s">
        <v>23</v>
      </c>
      <c r="H20" s="9" t="str">
        <f aca="false">IF(4.6-F20&lt;0, "x","o")</f>
        <v>x</v>
      </c>
      <c r="I20" s="10" t="n">
        <f aca="false">B20+F20</f>
        <v>10.5</v>
      </c>
      <c r="J20" s="12" t="n">
        <f aca="false">B20*(3.28-0.25)/3.28 + F20</f>
        <v>10.1087398373984</v>
      </c>
      <c r="K20" s="12" t="n">
        <f aca="false">B20*(3.28-$C$79)/3.28 + F20</f>
        <v>7.95171042163882</v>
      </c>
      <c r="L20" s="10" t="n">
        <f aca="false">B20*(3.28-$D$79)/3.28 + F20</f>
        <v>6.39657714586624</v>
      </c>
      <c r="M20" s="10" t="n">
        <f aca="false">B20*(3.28-$E$79)/3.28 + F20</f>
        <v>5.37934156378601</v>
      </c>
    </row>
    <row r="21" customFormat="false" ht="12.8" hidden="false" customHeight="false" outlineLevel="0" collapsed="false">
      <c r="A21" s="9" t="n">
        <v>3</v>
      </c>
      <c r="B21" s="10" t="n">
        <f aca="false">(D21-C21)/30</f>
        <v>5.06666666666667</v>
      </c>
      <c r="C21" s="11" t="n">
        <v>65089</v>
      </c>
      <c r="D21" s="11" t="n">
        <v>65241</v>
      </c>
      <c r="E21" s="11" t="n">
        <v>65353</v>
      </c>
      <c r="F21" s="10" t="n">
        <f aca="false">(E21-D21)/30</f>
        <v>3.73333333333333</v>
      </c>
      <c r="G21" s="10"/>
      <c r="H21" s="9" t="str">
        <f aca="false">IF(4.6-F21&lt;0, "x","o")</f>
        <v>o</v>
      </c>
      <c r="I21" s="10" t="n">
        <f aca="false">B21+F21</f>
        <v>8.8</v>
      </c>
      <c r="J21" s="12" t="n">
        <f aca="false">B21*(3.28-0.25)/3.28 + F21</f>
        <v>8.41382113821138</v>
      </c>
      <c r="K21" s="12" t="n">
        <f aca="false">B21*(3.28-$C$79)/3.28 + F21</f>
        <v>6.28480509148766</v>
      </c>
      <c r="L21" s="10" t="n">
        <f aca="false">B21*(3.28-$D$79)/3.28 + F21</f>
        <v>4.74986835176408</v>
      </c>
      <c r="M21" s="10" t="n">
        <f aca="false">B21*(3.28-$E$79)/3.28 + F21</f>
        <v>3.74584362139918</v>
      </c>
    </row>
    <row r="22" customFormat="false" ht="12.8" hidden="false" customHeight="false" outlineLevel="0" collapsed="false">
      <c r="A22" s="9" t="n">
        <v>3</v>
      </c>
      <c r="B22" s="10" t="n">
        <f aca="false">(D22-C22)/30</f>
        <v>6.23333333333333</v>
      </c>
      <c r="C22" s="11" t="n">
        <v>73281</v>
      </c>
      <c r="D22" s="11" t="n">
        <v>73468</v>
      </c>
      <c r="E22" s="11" t="n">
        <v>73599</v>
      </c>
      <c r="F22" s="10" t="n">
        <f aca="false">(E22-D22)/30</f>
        <v>4.36666666666667</v>
      </c>
      <c r="G22" s="10"/>
      <c r="H22" s="9" t="str">
        <f aca="false">IF(4.6-F22&lt;0, "x","o")</f>
        <v>o</v>
      </c>
      <c r="I22" s="10" t="n">
        <f aca="false">B22+F22</f>
        <v>10.6</v>
      </c>
      <c r="J22" s="12" t="n">
        <f aca="false">B22*(3.28-0.25)/3.28 + F22</f>
        <v>10.1248983739837</v>
      </c>
      <c r="K22" s="12" t="n">
        <f aca="false">B22*(3.28-$C$79)/3.28 + F22</f>
        <v>7.50564836913285</v>
      </c>
      <c r="L22" s="10" t="n">
        <f aca="false">B22*(3.28-$D$79)/3.28 + F22</f>
        <v>5.61727224855186</v>
      </c>
      <c r="M22" s="10" t="n">
        <f aca="false">B22*(3.28-$E$79)/3.28 + F22</f>
        <v>4.38205761316873</v>
      </c>
    </row>
    <row r="23" customFormat="false" ht="12.8" hidden="false" customHeight="false" outlineLevel="0" collapsed="false">
      <c r="A23" s="9" t="n">
        <v>3</v>
      </c>
      <c r="B23" s="10" t="n">
        <f aca="false">(D23-C23)/30</f>
        <v>5.26666666666667</v>
      </c>
      <c r="C23" s="11" t="n">
        <v>80763</v>
      </c>
      <c r="D23" s="11" t="n">
        <v>80921</v>
      </c>
      <c r="E23" s="11" t="n">
        <v>81056</v>
      </c>
      <c r="F23" s="10" t="n">
        <f aca="false">(E23-D23)/30</f>
        <v>4.5</v>
      </c>
      <c r="G23" s="10"/>
      <c r="H23" s="9" t="str">
        <f aca="false">IF(4.6-F23&lt;0, "x","o")</f>
        <v>o</v>
      </c>
      <c r="I23" s="10" t="n">
        <f aca="false">B23+F23</f>
        <v>9.76666666666667</v>
      </c>
      <c r="J23" s="12" t="n">
        <f aca="false">B23*(3.28-0.25)/3.28 + F23</f>
        <v>9.36524390243903</v>
      </c>
      <c r="K23" s="12" t="n">
        <f aca="false">B23*(3.28-$C$79)/3.28 + F23</f>
        <v>7.15218774860779</v>
      </c>
      <c r="L23" s="10" t="n">
        <f aca="false">B23*(3.28-$D$79)/3.28 + F23</f>
        <v>5.55666140073722</v>
      </c>
      <c r="M23" s="10" t="n">
        <f aca="false">B23*(3.28-$E$79)/3.28 + F23</f>
        <v>4.51300411522634</v>
      </c>
    </row>
    <row r="24" customFormat="false" ht="12.8" hidden="false" customHeight="false" outlineLevel="0" collapsed="false">
      <c r="A24" s="9" t="n">
        <v>3</v>
      </c>
      <c r="B24" s="10" t="n">
        <f aca="false">(D24-C24)/30</f>
        <v>5.1</v>
      </c>
      <c r="C24" s="11" t="n">
        <v>81016</v>
      </c>
      <c r="D24" s="11" t="n">
        <v>81169</v>
      </c>
      <c r="E24" s="11" t="n">
        <v>81239</v>
      </c>
      <c r="F24" s="10" t="n">
        <f aca="false">(E24-D24)/30</f>
        <v>2.33333333333333</v>
      </c>
      <c r="G24" s="10"/>
      <c r="H24" s="9" t="str">
        <f aca="false">IF(4.6-F24&lt;0, "x","o")</f>
        <v>o</v>
      </c>
      <c r="I24" s="10" t="n">
        <f aca="false">B24+F24</f>
        <v>7.43333333333333</v>
      </c>
      <c r="J24" s="12" t="n">
        <f aca="false">B24*(3.28-0.25)/3.28 + F24</f>
        <v>7.04461382113821</v>
      </c>
      <c r="K24" s="12" t="n">
        <f aca="false">B24*(3.28-$C$79)/3.28 + F24</f>
        <v>4.90159108989657</v>
      </c>
      <c r="L24" s="10" t="n">
        <f aca="false">B24*(3.28-$D$79)/3.28 + F24</f>
        <v>3.35655608214849</v>
      </c>
      <c r="M24" s="10" t="n">
        <f aca="false">B24*(3.28-$E$79)/3.28 + F24</f>
        <v>2.34592592592592</v>
      </c>
    </row>
    <row r="25" customFormat="false" ht="12.8" hidden="false" customHeight="false" outlineLevel="0" collapsed="false">
      <c r="A25" s="9" t="n">
        <v>3</v>
      </c>
      <c r="B25" s="10" t="n">
        <f aca="false">(D25-C25)/30</f>
        <v>8.33333333333333</v>
      </c>
      <c r="C25" s="11" t="n">
        <v>90700</v>
      </c>
      <c r="D25" s="11" t="n">
        <v>90950</v>
      </c>
      <c r="E25" s="11" t="n">
        <v>91093</v>
      </c>
      <c r="F25" s="10" t="n">
        <f aca="false">(E25-D25)/30</f>
        <v>4.76666666666667</v>
      </c>
      <c r="G25" s="10"/>
      <c r="H25" s="9" t="str">
        <f aca="false">IF(4.6-F25&lt;0, "x","o")</f>
        <v>x</v>
      </c>
      <c r="I25" s="10" t="n">
        <f aca="false">B25+F25</f>
        <v>13.1</v>
      </c>
      <c r="J25" s="12" t="n">
        <f aca="false">B25*(3.28-0.25)/3.28 + F25</f>
        <v>12.464837398374</v>
      </c>
      <c r="K25" s="12" t="n">
        <f aca="false">B25*(3.28-$C$79)/3.28 + F25</f>
        <v>8.96316626889418</v>
      </c>
      <c r="L25" s="10" t="n">
        <f aca="false">B25*(3.28-$D$79)/3.28 + F25</f>
        <v>6.43859926276987</v>
      </c>
      <c r="M25" s="10" t="n">
        <f aca="false">B25*(3.28-$E$79)/3.28 + F25</f>
        <v>4.78724279835392</v>
      </c>
    </row>
    <row r="26" customFormat="false" ht="12.8" hidden="false" customHeight="false" outlineLevel="0" collapsed="false">
      <c r="A26" s="9" t="n">
        <v>3</v>
      </c>
      <c r="B26" s="10" t="n">
        <f aca="false">(D26-C26)/30</f>
        <v>3.9</v>
      </c>
      <c r="C26" s="11" t="n">
        <v>109697</v>
      </c>
      <c r="D26" s="11" t="n">
        <v>109814</v>
      </c>
      <c r="E26" s="11" t="n">
        <v>109919</v>
      </c>
      <c r="F26" s="10" t="n">
        <f aca="false">(E26-D26)/30</f>
        <v>3.5</v>
      </c>
      <c r="G26" s="10"/>
      <c r="H26" s="9" t="str">
        <f aca="false">IF(4.6-F26&lt;0, "x","o")</f>
        <v>o</v>
      </c>
      <c r="I26" s="10" t="n">
        <f aca="false">B26+F26</f>
        <v>7.4</v>
      </c>
      <c r="J26" s="12" t="n">
        <f aca="false">B26*(3.28-0.25)/3.28 + F26</f>
        <v>7.10274390243902</v>
      </c>
      <c r="K26" s="12" t="n">
        <f aca="false">B26*(3.28-$C$79)/3.28 + F26</f>
        <v>5.46396181384248</v>
      </c>
      <c r="L26" s="10" t="n">
        <f aca="false">B26*(3.28-$D$79)/3.28 + F26</f>
        <v>4.2824644549763</v>
      </c>
      <c r="M26" s="10" t="n">
        <f aca="false">B26*(3.28-$E$79)/3.28 + F26</f>
        <v>3.50962962962963</v>
      </c>
    </row>
    <row r="27" customFormat="false" ht="12.8" hidden="false" customHeight="false" outlineLevel="0" collapsed="false">
      <c r="A27" s="9" t="n">
        <v>3</v>
      </c>
      <c r="B27" s="10" t="n">
        <f aca="false">(D27-C27)/30</f>
        <v>8.2</v>
      </c>
      <c r="C27" s="11" t="n">
        <v>126175</v>
      </c>
      <c r="D27" s="11" t="n">
        <v>126421</v>
      </c>
      <c r="E27" s="11" t="n">
        <v>126497</v>
      </c>
      <c r="F27" s="10" t="n">
        <f aca="false">(E27-D27)/30</f>
        <v>2.53333333333333</v>
      </c>
      <c r="G27" s="10"/>
      <c r="H27" s="9" t="str">
        <f aca="false">IF(4.6-F27&lt;0, "x","o")</f>
        <v>o</v>
      </c>
      <c r="I27" s="10" t="n">
        <f aca="false">B27+F27</f>
        <v>10.7333333333333</v>
      </c>
      <c r="J27" s="12" t="n">
        <f aca="false">B27*(3.28-0.25)/3.28 + F27</f>
        <v>10.1083333333333</v>
      </c>
      <c r="K27" s="12" t="n">
        <f aca="false">B27*(3.28-$C$79)/3.28 + F27</f>
        <v>6.66268894192521</v>
      </c>
      <c r="L27" s="10" t="n">
        <f aca="false">B27*(3.28-$D$79)/3.28 + F27</f>
        <v>4.17851500789888</v>
      </c>
      <c r="M27" s="10" t="n">
        <f aca="false">B27*(3.28-$E$79)/3.28 + F27</f>
        <v>2.55358024691358</v>
      </c>
    </row>
    <row r="28" customFormat="false" ht="12.8" hidden="false" customHeight="false" outlineLevel="0" collapsed="false">
      <c r="A28" s="9" t="n">
        <v>3</v>
      </c>
      <c r="B28" s="10" t="n">
        <f aca="false">(D28-C28)/30</f>
        <v>6.36666666666667</v>
      </c>
      <c r="C28" s="11" t="n">
        <v>126280</v>
      </c>
      <c r="D28" s="11" t="n">
        <v>126471</v>
      </c>
      <c r="E28" s="11" t="n">
        <v>126558</v>
      </c>
      <c r="F28" s="10" t="n">
        <f aca="false">(E28-D28)/30</f>
        <v>2.9</v>
      </c>
      <c r="G28" s="10"/>
      <c r="H28" s="9" t="str">
        <f aca="false">IF(4.6-F28&lt;0, "x","o")</f>
        <v>o</v>
      </c>
      <c r="I28" s="10" t="n">
        <f aca="false">B28+F28</f>
        <v>9.26666666666667</v>
      </c>
      <c r="J28" s="12" t="n">
        <f aca="false">B28*(3.28-0.25)/3.28 + F28</f>
        <v>8.78140243902439</v>
      </c>
      <c r="K28" s="12" t="n">
        <f aca="false">B28*(3.28-$C$79)/3.28 + F28</f>
        <v>6.10612569610182</v>
      </c>
      <c r="L28" s="10" t="n">
        <f aca="false">B28*(3.28-$D$79)/3.28 + F28</f>
        <v>4.17735650342285</v>
      </c>
      <c r="M28" s="10" t="n">
        <f aca="false">B28*(3.28-$E$79)/3.28 + F28</f>
        <v>2.91572016460906</v>
      </c>
    </row>
    <row r="29" customFormat="false" ht="12.8" hidden="false" customHeight="false" outlineLevel="0" collapsed="false">
      <c r="A29" s="9" t="n">
        <v>4</v>
      </c>
      <c r="B29" s="10" t="n">
        <f aca="false">(D29-C29)/30</f>
        <v>3</v>
      </c>
      <c r="C29" s="11" t="n">
        <v>8995</v>
      </c>
      <c r="D29" s="11" t="n">
        <v>9085</v>
      </c>
      <c r="E29" s="11" t="n">
        <v>9140</v>
      </c>
      <c r="F29" s="10" t="n">
        <f aca="false">(E29-D29)/30</f>
        <v>1.83333333333333</v>
      </c>
      <c r="G29" s="10"/>
      <c r="H29" s="9" t="str">
        <f aca="false">IF(4.6-F29&lt;0, "x","o")</f>
        <v>o</v>
      </c>
      <c r="I29" s="10" t="n">
        <f aca="false">B29+F29</f>
        <v>4.83333333333333</v>
      </c>
      <c r="J29" s="12" t="n">
        <f aca="false">B29*(3.28-0.25)/3.28 + F29</f>
        <v>4.60467479674797</v>
      </c>
      <c r="K29" s="12" t="n">
        <f aca="false">B29*(3.28-$C$79)/3.28 + F29</f>
        <v>3.34407319013524</v>
      </c>
      <c r="L29" s="10" t="n">
        <f aca="false">B29*(3.28-$D$79)/3.28 + F29</f>
        <v>2.43522906793048</v>
      </c>
      <c r="M29" s="10" t="n">
        <f aca="false">B29*(3.28-$E$79)/3.28 + F29</f>
        <v>1.84074074074074</v>
      </c>
    </row>
    <row r="30" customFormat="false" ht="12.8" hidden="false" customHeight="false" outlineLevel="0" collapsed="false">
      <c r="A30" s="9" t="n">
        <v>4</v>
      </c>
      <c r="B30" s="10" t="n">
        <f aca="false">(D30-C30)/30</f>
        <v>3.83333333333333</v>
      </c>
      <c r="C30" s="11" t="n">
        <v>24826</v>
      </c>
      <c r="D30" s="11" t="n">
        <v>24941</v>
      </c>
      <c r="E30" s="11" t="n">
        <v>25014</v>
      </c>
      <c r="F30" s="10" t="n">
        <f aca="false">(E30-D30)/30</f>
        <v>2.43333333333333</v>
      </c>
      <c r="G30" s="10"/>
      <c r="H30" s="9" t="str">
        <f aca="false">IF(4.6-F30&lt;0, "x","o")</f>
        <v>o</v>
      </c>
      <c r="I30" s="10" t="n">
        <f aca="false">B30+F30</f>
        <v>6.26666666666666</v>
      </c>
      <c r="J30" s="12" t="n">
        <f aca="false">B30*(3.28-0.25)/3.28 + F30</f>
        <v>5.97449186991869</v>
      </c>
      <c r="K30" s="12" t="n">
        <f aca="false">B30*(3.28-$C$79)/3.28 + F30</f>
        <v>4.36372315035799</v>
      </c>
      <c r="L30" s="10" t="n">
        <f aca="false">B30*(3.28-$D$79)/3.28 + F30</f>
        <v>3.2024223275408</v>
      </c>
      <c r="M30" s="10" t="n">
        <f aca="false">B30*(3.28-$E$79)/3.28 + F30</f>
        <v>2.44279835390946</v>
      </c>
    </row>
    <row r="31" customFormat="false" ht="12.8" hidden="false" customHeight="false" outlineLevel="0" collapsed="false">
      <c r="A31" s="9" t="n">
        <v>4</v>
      </c>
      <c r="B31" s="10" t="n">
        <f aca="false">(D31-C31)/30</f>
        <v>7.66666666666667</v>
      </c>
      <c r="C31" s="11" t="n">
        <v>25610</v>
      </c>
      <c r="D31" s="11" t="n">
        <v>25840</v>
      </c>
      <c r="E31" s="11" t="n">
        <v>25932</v>
      </c>
      <c r="F31" s="10" t="n">
        <f aca="false">(E31-D31)/30</f>
        <v>3.06666666666667</v>
      </c>
      <c r="G31" s="10"/>
      <c r="H31" s="9" t="str">
        <f aca="false">IF(4.6-F31&lt;0, "x","o")</f>
        <v>o</v>
      </c>
      <c r="I31" s="10" t="n">
        <f aca="false">B31+F31</f>
        <v>10.7333333333333</v>
      </c>
      <c r="J31" s="12" t="n">
        <f aca="false">B31*(3.28-0.25)/3.28 + F31</f>
        <v>10.1489837398374</v>
      </c>
      <c r="K31" s="12" t="n">
        <f aca="false">B31*(3.28-$C$79)/3.28 + F31</f>
        <v>6.92744630071599</v>
      </c>
      <c r="L31" s="10" t="n">
        <f aca="false">B31*(3.28-$D$79)/3.28 + F31</f>
        <v>4.60484465508162</v>
      </c>
      <c r="M31" s="10" t="n">
        <f aca="false">B31*(3.28-$E$79)/3.28 + F31</f>
        <v>3.08559670781894</v>
      </c>
    </row>
    <row r="32" customFormat="false" ht="12.8" hidden="false" customHeight="false" outlineLevel="0" collapsed="false">
      <c r="A32" s="9" t="n">
        <v>4</v>
      </c>
      <c r="B32" s="10" t="n">
        <f aca="false">(D32-C32)/30</f>
        <v>6.76666666666667</v>
      </c>
      <c r="C32" s="11" t="n">
        <v>25691</v>
      </c>
      <c r="D32" s="11" t="n">
        <v>25894</v>
      </c>
      <c r="E32" s="11" t="n">
        <v>25990</v>
      </c>
      <c r="F32" s="10" t="n">
        <f aca="false">(E32-D32)/30</f>
        <v>3.2</v>
      </c>
      <c r="G32" s="10"/>
      <c r="H32" s="9" t="str">
        <f aca="false">IF(4.6-F32&lt;0, "x","o")</f>
        <v>o</v>
      </c>
      <c r="I32" s="10" t="n">
        <f aca="false">B32+F32</f>
        <v>9.96666666666667</v>
      </c>
      <c r="J32" s="12" t="n">
        <f aca="false">B32*(3.28-0.25)/3.28 + F32</f>
        <v>9.45091463414635</v>
      </c>
      <c r="K32" s="12" t="n">
        <f aca="false">B32*(3.28-$C$79)/3.28 + F32</f>
        <v>6.60755767700874</v>
      </c>
      <c r="L32" s="10" t="n">
        <f aca="false">B32*(3.28-$D$79)/3.28 + F32</f>
        <v>4.5576092680358</v>
      </c>
      <c r="M32" s="10" t="n">
        <f aca="false">B32*(3.28-$E$79)/3.28 + F32</f>
        <v>3.21670781893004</v>
      </c>
    </row>
    <row r="33" customFormat="false" ht="12.8" hidden="false" customHeight="false" outlineLevel="0" collapsed="false">
      <c r="A33" s="9" t="n">
        <v>4</v>
      </c>
      <c r="B33" s="10" t="n">
        <f aca="false">(D33-C33)/30</f>
        <v>7.26666666666667</v>
      </c>
      <c r="C33" s="11" t="n">
        <v>25717</v>
      </c>
      <c r="D33" s="11" t="n">
        <v>25935</v>
      </c>
      <c r="E33" s="11" t="n">
        <v>26027</v>
      </c>
      <c r="F33" s="10" t="n">
        <f aca="false">(E33-D33)/30</f>
        <v>3.06666666666667</v>
      </c>
      <c r="G33" s="10"/>
      <c r="H33" s="9" t="str">
        <f aca="false">IF(4.6-F33&lt;0, "x","o")</f>
        <v>o</v>
      </c>
      <c r="I33" s="10" t="n">
        <f aca="false">B33+F33</f>
        <v>10.3333333333333</v>
      </c>
      <c r="J33" s="12" t="n">
        <f aca="false">B33*(3.28-0.25)/3.28 + F33</f>
        <v>9.77947154471545</v>
      </c>
      <c r="K33" s="12" t="n">
        <f aca="false">B33*(3.28-$C$79)/3.28 + F33</f>
        <v>6.72601431980907</v>
      </c>
      <c r="L33" s="10" t="n">
        <f aca="false">B33*(3.28-$D$79)/3.28 + F33</f>
        <v>4.52459189046866</v>
      </c>
      <c r="M33" s="10" t="n">
        <f aca="false">B33*(3.28-$E$79)/3.28 + F33</f>
        <v>3.08460905349795</v>
      </c>
    </row>
    <row r="34" customFormat="false" ht="12.8" hidden="false" customHeight="false" outlineLevel="0" collapsed="false">
      <c r="A34" s="9" t="n">
        <v>4</v>
      </c>
      <c r="B34" s="10" t="n">
        <f aca="false">(D34-C34)/30</f>
        <v>7.73333333333333</v>
      </c>
      <c r="C34" s="11" t="n">
        <v>34910</v>
      </c>
      <c r="D34" s="11" t="n">
        <v>35142</v>
      </c>
      <c r="E34" s="11" t="n">
        <v>35292</v>
      </c>
      <c r="F34" s="10" t="n">
        <f aca="false">(E34-D34)/30</f>
        <v>5</v>
      </c>
      <c r="G34" s="10" t="s">
        <v>23</v>
      </c>
      <c r="H34" s="9" t="str">
        <f aca="false">IF(4.6-F34&lt;0, "x","o")</f>
        <v>x</v>
      </c>
      <c r="I34" s="10" t="n">
        <f aca="false">B34+F34</f>
        <v>12.7333333333333</v>
      </c>
      <c r="J34" s="12" t="n">
        <f aca="false">B34*(3.28-0.25)/3.28 + F34</f>
        <v>12.1439024390244</v>
      </c>
      <c r="K34" s="12" t="n">
        <f aca="false">B34*(3.28-$C$79)/3.28 + F34</f>
        <v>8.89435163086713</v>
      </c>
      <c r="L34" s="10" t="n">
        <f aca="false">B34*(3.28-$D$79)/3.28 + F34</f>
        <v>6.55155344918377</v>
      </c>
      <c r="M34" s="10" t="n">
        <f aca="false">B34*(3.28-$E$79)/3.28 + F34</f>
        <v>5.01909465020576</v>
      </c>
    </row>
    <row r="35" customFormat="false" ht="12.8" hidden="false" customHeight="false" outlineLevel="0" collapsed="false">
      <c r="A35" s="9" t="n">
        <v>4</v>
      </c>
      <c r="B35" s="10" t="n">
        <f aca="false">(D35-C35)/30</f>
        <v>11.9</v>
      </c>
      <c r="C35" s="11" t="n">
        <v>43224</v>
      </c>
      <c r="D35" s="11" t="n">
        <v>43581</v>
      </c>
      <c r="E35" s="11" t="n">
        <v>43793</v>
      </c>
      <c r="F35" s="10" t="n">
        <f aca="false">(E35-D35)/30</f>
        <v>7.06666666666667</v>
      </c>
      <c r="G35" s="9"/>
      <c r="H35" s="9" t="str">
        <f aca="false">IF(4.6-F35&lt;0, "x","o")</f>
        <v>x</v>
      </c>
      <c r="I35" s="10" t="n">
        <f aca="false">B35+F35</f>
        <v>18.9666666666667</v>
      </c>
      <c r="J35" s="12" t="n">
        <f aca="false">B35*(3.28-0.25)/3.28 + F35</f>
        <v>18.0596544715447</v>
      </c>
      <c r="K35" s="12" t="n">
        <f aca="false">B35*(3.28-$C$79)/3.28 + F35</f>
        <v>13.0592680986476</v>
      </c>
      <c r="L35" s="10" t="n">
        <f aca="false">B35*(3.28-$D$79)/3.28 + F35</f>
        <v>9.45418641390204</v>
      </c>
      <c r="M35" s="10" t="n">
        <f aca="false">B35*(3.28-$E$79)/3.28 + F35</f>
        <v>7.09604938271606</v>
      </c>
    </row>
    <row r="36" customFormat="false" ht="12.8" hidden="false" customHeight="false" outlineLevel="0" collapsed="false">
      <c r="A36" s="9" t="n">
        <v>4</v>
      </c>
      <c r="B36" s="10" t="n">
        <f aca="false">(D36-C36)/30</f>
        <v>12.7333333333333</v>
      </c>
      <c r="C36" s="11" t="n">
        <v>43300</v>
      </c>
      <c r="D36" s="11" t="n">
        <v>43682</v>
      </c>
      <c r="E36" s="11" t="n">
        <v>43820</v>
      </c>
      <c r="F36" s="10" t="n">
        <f aca="false">(E36-D36)/30</f>
        <v>4.6</v>
      </c>
      <c r="G36" s="9"/>
      <c r="H36" s="9" t="str">
        <f aca="false">IF(4.6-F36&lt;0, "x","o")</f>
        <v>o</v>
      </c>
      <c r="I36" s="10" t="n">
        <f aca="false">B36+F36</f>
        <v>17.3333333333333</v>
      </c>
      <c r="J36" s="12" t="n">
        <f aca="false">B36*(3.28-0.25)/3.28 + F36</f>
        <v>16.3628048780488</v>
      </c>
      <c r="K36" s="12" t="n">
        <f aca="false">B36*(3.28-$C$79)/3.28 + F36</f>
        <v>11.0122513922036</v>
      </c>
      <c r="L36" s="10" t="n">
        <f aca="false">B36*(3.28-$D$79)/3.28 + F36</f>
        <v>7.15471300684568</v>
      </c>
      <c r="M36" s="10" t="n">
        <f aca="false">B36*(3.28-$E$79)/3.28 + F36</f>
        <v>4.63144032921811</v>
      </c>
    </row>
    <row r="37" customFormat="false" ht="12.8" hidden="false" customHeight="false" outlineLevel="0" collapsed="false">
      <c r="A37" s="9" t="n">
        <v>4</v>
      </c>
      <c r="B37" s="10" t="n">
        <f aca="false">(D37-C37)/30</f>
        <v>13.5666666666667</v>
      </c>
      <c r="C37" s="11" t="n">
        <v>43330</v>
      </c>
      <c r="D37" s="11" t="n">
        <v>43737</v>
      </c>
      <c r="E37" s="11" t="n">
        <v>43844</v>
      </c>
      <c r="F37" s="10" t="n">
        <f aca="false">(E37-D37)/30</f>
        <v>3.56666666666667</v>
      </c>
      <c r="G37" s="9"/>
      <c r="H37" s="9" t="str">
        <f aca="false">IF(4.6-F37&lt;0, "x","o")</f>
        <v>o</v>
      </c>
      <c r="I37" s="10" t="n">
        <f aca="false">B37+F37</f>
        <v>17.1333333333334</v>
      </c>
      <c r="J37" s="12" t="n">
        <f aca="false">B37*(3.28-0.25)/3.28 + F37</f>
        <v>16.0992886178862</v>
      </c>
      <c r="K37" s="12" t="n">
        <f aca="false">B37*(3.28-$C$79)/3.28 + F37</f>
        <v>10.3985680190931</v>
      </c>
      <c r="L37" s="10" t="n">
        <f aca="false">B37*(3.28-$D$79)/3.28 + F37</f>
        <v>6.28857293312269</v>
      </c>
      <c r="M37" s="10" t="n">
        <f aca="false">B37*(3.28-$E$79)/3.28 + F37</f>
        <v>3.60016460905351</v>
      </c>
    </row>
    <row r="38" customFormat="false" ht="12.8" hidden="false" customHeight="false" outlineLevel="0" collapsed="false">
      <c r="A38" s="9" t="n">
        <v>4</v>
      </c>
      <c r="B38" s="10" t="n">
        <f aca="false">(D38-C38)/30</f>
        <v>14.1</v>
      </c>
      <c r="C38" s="11" t="n">
        <v>43335</v>
      </c>
      <c r="D38" s="11" t="n">
        <v>43758</v>
      </c>
      <c r="E38" s="11" t="n">
        <v>43860</v>
      </c>
      <c r="F38" s="10" t="n">
        <f aca="false">(E38-D38)/30</f>
        <v>3.4</v>
      </c>
      <c r="G38" s="9"/>
      <c r="H38" s="9" t="str">
        <f aca="false">IF(4.6-F38&lt;0, "x","o")</f>
        <v>o</v>
      </c>
      <c r="I38" s="10" t="n">
        <f aca="false">B38+F38</f>
        <v>17.5</v>
      </c>
      <c r="J38" s="12" t="n">
        <f aca="false">B38*(3.28-0.25)/3.28 + F38</f>
        <v>16.4253048780488</v>
      </c>
      <c r="K38" s="12" t="n">
        <f aca="false">B38*(3.28-$C$79)/3.28 + F38</f>
        <v>10.500477326969</v>
      </c>
      <c r="L38" s="10" t="n">
        <f aca="false">B38*(3.28-$D$79)/3.28 + F38</f>
        <v>6.22890995260662</v>
      </c>
      <c r="M38" s="10" t="n">
        <f aca="false">B38*(3.28-$E$79)/3.28 + F38</f>
        <v>3.43481481481482</v>
      </c>
    </row>
    <row r="39" customFormat="false" ht="12.8" hidden="false" customHeight="false" outlineLevel="0" collapsed="false">
      <c r="A39" s="9" t="n">
        <v>4</v>
      </c>
      <c r="B39" s="10" t="n">
        <f aca="false">(D39-C39)/30</f>
        <v>3.2</v>
      </c>
      <c r="C39" s="11" t="n">
        <v>59905</v>
      </c>
      <c r="D39" s="11" t="n">
        <v>60001</v>
      </c>
      <c r="E39" s="11" t="n">
        <v>60068</v>
      </c>
      <c r="F39" s="10" t="n">
        <f aca="false">(E39-D39)/30</f>
        <v>2.23333333333333</v>
      </c>
      <c r="G39" s="9"/>
      <c r="H39" s="9" t="str">
        <f aca="false">IF(4.6-F39&lt;0, "x","o")</f>
        <v>o</v>
      </c>
      <c r="I39" s="10" t="n">
        <f aca="false">B39+F39</f>
        <v>5.43333333333333</v>
      </c>
      <c r="J39" s="12" t="n">
        <f aca="false">B39*(3.28-0.25)/3.28 + F39</f>
        <v>5.18943089430894</v>
      </c>
      <c r="K39" s="12" t="n">
        <f aca="false">B39*(3.28-$C$79)/3.28 + F39</f>
        <v>3.8447891805887</v>
      </c>
      <c r="L39" s="10" t="n">
        <f aca="false">B39*(3.28-$D$79)/3.28 + F39</f>
        <v>2.87535545023696</v>
      </c>
      <c r="M39" s="10" t="n">
        <f aca="false">B39*(3.28-$E$79)/3.28 + F39</f>
        <v>2.24123456790123</v>
      </c>
    </row>
    <row r="40" customFormat="false" ht="12.8" hidden="false" customHeight="false" outlineLevel="0" collapsed="false">
      <c r="A40" s="9" t="n">
        <v>4</v>
      </c>
      <c r="B40" s="10" t="n">
        <f aca="false">(D40-C40)/30</f>
        <v>9.16666666666667</v>
      </c>
      <c r="C40" s="11" t="n">
        <v>60275</v>
      </c>
      <c r="D40" s="11" t="n">
        <v>60550</v>
      </c>
      <c r="E40" s="11" t="n">
        <v>60687</v>
      </c>
      <c r="F40" s="10" t="n">
        <f aca="false">(E40-D40)/30</f>
        <v>4.56666666666667</v>
      </c>
      <c r="G40" s="9"/>
      <c r="H40" s="9" t="str">
        <f aca="false">IF(4.6-F40&lt;0, "x","o")</f>
        <v>o</v>
      </c>
      <c r="I40" s="10" t="n">
        <f aca="false">B40+F40</f>
        <v>13.7333333333333</v>
      </c>
      <c r="J40" s="12" t="n">
        <f aca="false">B40*(3.28-0.25)/3.28 + F40</f>
        <v>13.0346544715447</v>
      </c>
      <c r="K40" s="12" t="n">
        <f aca="false">B40*(3.28-$C$79)/3.28 + F40</f>
        <v>9.18281622911694</v>
      </c>
      <c r="L40" s="10" t="n">
        <f aca="false">B40*(3.28-$D$79)/3.28 + F40</f>
        <v>6.40579252238019</v>
      </c>
      <c r="M40" s="10" t="n">
        <f aca="false">B40*(3.28-$E$79)/3.28 + F40</f>
        <v>4.58930041152264</v>
      </c>
    </row>
    <row r="41" customFormat="false" ht="12.8" hidden="false" customHeight="false" outlineLevel="0" collapsed="false">
      <c r="A41" s="9" t="n">
        <v>4</v>
      </c>
      <c r="B41" s="10" t="n">
        <f aca="false">(D41-C41)/30</f>
        <v>6.8</v>
      </c>
      <c r="C41" s="11" t="n">
        <v>60380</v>
      </c>
      <c r="D41" s="11" t="n">
        <v>60584</v>
      </c>
      <c r="E41" s="11" t="n">
        <v>60704</v>
      </c>
      <c r="F41" s="10" t="n">
        <f aca="false">(E41-D41)/30</f>
        <v>4</v>
      </c>
      <c r="G41" s="9"/>
      <c r="H41" s="9" t="str">
        <f aca="false">IF(4.6-F41&lt;0, "x","o")</f>
        <v>o</v>
      </c>
      <c r="I41" s="10" t="n">
        <f aca="false">B41+F41</f>
        <v>10.8</v>
      </c>
      <c r="J41" s="12" t="n">
        <f aca="false">B41*(3.28-0.25)/3.28 + F41</f>
        <v>10.2817073170732</v>
      </c>
      <c r="K41" s="12" t="n">
        <f aca="false">B41*(3.28-$C$79)/3.28 + F41</f>
        <v>7.42434367541765</v>
      </c>
      <c r="L41" s="10" t="n">
        <f aca="false">B41*(3.28-$D$79)/3.28 + F41</f>
        <v>5.36429699842021</v>
      </c>
      <c r="M41" s="10" t="n">
        <f aca="false">B41*(3.28-$E$79)/3.28 + F41</f>
        <v>4.01679012345679</v>
      </c>
    </row>
    <row r="42" customFormat="false" ht="12.8" hidden="false" customHeight="false" outlineLevel="0" collapsed="false">
      <c r="A42" s="9" t="n">
        <v>4</v>
      </c>
      <c r="B42" s="10" t="n">
        <f aca="false">(D42-C42)/30</f>
        <v>7.6</v>
      </c>
      <c r="C42" s="11" t="n">
        <v>60390</v>
      </c>
      <c r="D42" s="11" t="n">
        <v>60618</v>
      </c>
      <c r="E42" s="11" t="n">
        <v>60727</v>
      </c>
      <c r="F42" s="10" t="n">
        <f aca="false">(E42-D42)/30</f>
        <v>3.63333333333333</v>
      </c>
      <c r="G42" s="9"/>
      <c r="H42" s="9" t="str">
        <f aca="false">IF(4.6-F42&lt;0, "x","o")</f>
        <v>o</v>
      </c>
      <c r="I42" s="10" t="n">
        <f aca="false">B42+F42</f>
        <v>11.2333333333333</v>
      </c>
      <c r="J42" s="12" t="n">
        <f aca="false">B42*(3.28-0.25)/3.28 + F42</f>
        <v>10.6540650406504</v>
      </c>
      <c r="K42" s="12" t="n">
        <f aca="false">B42*(3.28-$C$79)/3.28 + F42</f>
        <v>7.46054097056482</v>
      </c>
      <c r="L42" s="10" t="n">
        <f aca="false">B42*(3.28-$D$79)/3.28 + F42</f>
        <v>5.15813586097945</v>
      </c>
      <c r="M42" s="10" t="n">
        <f aca="false">B42*(3.28-$E$79)/3.28 + F42</f>
        <v>3.6520987654321</v>
      </c>
    </row>
    <row r="43" customFormat="false" ht="12.8" hidden="false" customHeight="false" outlineLevel="0" collapsed="false">
      <c r="A43" s="9" t="n">
        <v>4</v>
      </c>
      <c r="B43" s="10" t="n">
        <f aca="false">(D43-C43)/30</f>
        <v>6.03333333333333</v>
      </c>
      <c r="C43" s="11" t="n">
        <v>75019</v>
      </c>
      <c r="D43" s="11" t="n">
        <v>75200</v>
      </c>
      <c r="E43" s="11" t="n">
        <v>75278</v>
      </c>
      <c r="F43" s="10" t="n">
        <f aca="false">(E43-D43)/30</f>
        <v>2.6</v>
      </c>
      <c r="G43" s="9"/>
      <c r="H43" s="9" t="str">
        <f aca="false">IF(4.6-F43&lt;0, "x","o")</f>
        <v>o</v>
      </c>
      <c r="I43" s="10" t="n">
        <f aca="false">B43+F43</f>
        <v>8.63333333333333</v>
      </c>
      <c r="J43" s="12" t="n">
        <f aca="false">B43*(3.28-0.25)/3.28 + F43</f>
        <v>8.17347560975609</v>
      </c>
      <c r="K43" s="12" t="n">
        <f aca="false">B43*(3.28-$C$79)/3.28 + F43</f>
        <v>5.63826571201272</v>
      </c>
      <c r="L43" s="10" t="n">
        <f aca="false">B43*(3.28-$D$79)/3.28 + F43</f>
        <v>3.81047919957872</v>
      </c>
      <c r="M43" s="10" t="n">
        <f aca="false">B43*(3.28-$E$79)/3.28 + F43</f>
        <v>2.61489711934157</v>
      </c>
    </row>
    <row r="44" customFormat="false" ht="12.8" hidden="false" customHeight="false" outlineLevel="0" collapsed="false">
      <c r="A44" s="9" t="n">
        <v>4</v>
      </c>
      <c r="B44" s="10" t="n">
        <f aca="false">(D44-C44)/30</f>
        <v>6.73333333333333</v>
      </c>
      <c r="C44" s="11" t="n">
        <v>91078</v>
      </c>
      <c r="D44" s="11" t="n">
        <v>91280</v>
      </c>
      <c r="E44" s="11" t="n">
        <v>91380</v>
      </c>
      <c r="F44" s="10" t="n">
        <f aca="false">(E44-D44)/30</f>
        <v>3.33333333333333</v>
      </c>
      <c r="G44" s="9"/>
      <c r="H44" s="9" t="str">
        <f aca="false">IF(4.6-F44&lt;0, "x","o")</f>
        <v>o</v>
      </c>
      <c r="I44" s="10" t="n">
        <f aca="false">B44+F44</f>
        <v>10.0666666666667</v>
      </c>
      <c r="J44" s="12" t="n">
        <f aca="false">B44*(3.28-0.25)/3.28 + F44</f>
        <v>9.55345528455284</v>
      </c>
      <c r="K44" s="12" t="n">
        <f aca="false">B44*(3.28-$C$79)/3.28 + F44</f>
        <v>6.72410501193316</v>
      </c>
      <c r="L44" s="10" t="n">
        <f aca="false">B44*(3.28-$D$79)/3.28 + F44</f>
        <v>4.68425487098472</v>
      </c>
      <c r="M44" s="10" t="n">
        <f aca="false">B44*(3.28-$E$79)/3.28 + F44</f>
        <v>3.34995884773662</v>
      </c>
    </row>
    <row r="45" customFormat="false" ht="12.8" hidden="false" customHeight="false" outlineLevel="0" collapsed="false">
      <c r="A45" s="9" t="n">
        <v>5</v>
      </c>
      <c r="B45" s="10" t="n">
        <f aca="false">(D45-C45)/30</f>
        <v>7.13333333333333</v>
      </c>
      <c r="C45" s="11" t="n">
        <v>27472</v>
      </c>
      <c r="D45" s="11" t="n">
        <v>27686</v>
      </c>
      <c r="E45" s="11" t="n">
        <v>27829</v>
      </c>
      <c r="F45" s="10" t="n">
        <f aca="false">(E45-D45)/30</f>
        <v>4.76666666666667</v>
      </c>
      <c r="G45" s="9"/>
      <c r="H45" s="9" t="str">
        <f aca="false">IF(4.6-F45&lt;0, "x","o")</f>
        <v>x</v>
      </c>
      <c r="I45" s="10" t="n">
        <f aca="false">B45+F45</f>
        <v>11.9</v>
      </c>
      <c r="J45" s="12" t="n">
        <f aca="false">B45*(3.28-0.25)/3.28 + F45</f>
        <v>11.3563008130081</v>
      </c>
      <c r="K45" s="12" t="n">
        <f aca="false">B45*(3.28-$C$79)/3.28 + F45</f>
        <v>8.35887032617342</v>
      </c>
      <c r="L45" s="10" t="n">
        <f aca="false">B45*(3.28-$D$79)/3.28 + F45</f>
        <v>6.19784096893101</v>
      </c>
      <c r="M45" s="10" t="n">
        <f aca="false">B45*(3.28-$E$79)/3.28 + F45</f>
        <v>4.78427983539095</v>
      </c>
    </row>
    <row r="46" customFormat="false" ht="12.8" hidden="false" customHeight="false" outlineLevel="0" collapsed="false">
      <c r="A46" s="9" t="n">
        <v>5</v>
      </c>
      <c r="B46" s="10" t="n">
        <f aca="false">(D46-C46)/30</f>
        <v>5.66666666666667</v>
      </c>
      <c r="C46" s="11" t="n">
        <v>27870</v>
      </c>
      <c r="D46" s="11" t="n">
        <v>28040</v>
      </c>
      <c r="E46" s="11" t="n">
        <v>28130</v>
      </c>
      <c r="F46" s="10" t="n">
        <f aca="false">(E46-D46)/30</f>
        <v>3</v>
      </c>
      <c r="G46" s="9"/>
      <c r="H46" s="9" t="str">
        <f aca="false">IF(4.6-F46&lt;0, "x","o")</f>
        <v>o</v>
      </c>
      <c r="I46" s="10" t="n">
        <f aca="false">B46+F46</f>
        <v>8.66666666666667</v>
      </c>
      <c r="J46" s="12" t="n">
        <f aca="false">B46*(3.28-0.25)/3.28 + F46</f>
        <v>8.23475609756098</v>
      </c>
      <c r="K46" s="12" t="n">
        <f aca="false">B46*(3.28-$C$79)/3.28 + F46</f>
        <v>5.85361972951471</v>
      </c>
      <c r="L46" s="10" t="n">
        <f aca="false">B46*(3.28-$D$79)/3.28 + F46</f>
        <v>4.13691416535018</v>
      </c>
      <c r="M46" s="10" t="n">
        <f aca="false">B46*(3.28-$E$79)/3.28 + F46</f>
        <v>3.01399176954733</v>
      </c>
    </row>
    <row r="47" customFormat="false" ht="12.8" hidden="false" customHeight="false" outlineLevel="0" collapsed="false">
      <c r="A47" s="9" t="n">
        <v>5</v>
      </c>
      <c r="B47" s="10" t="n">
        <f aca="false">(D47-C47)/30</f>
        <v>4.13333333333333</v>
      </c>
      <c r="C47" s="11" t="n">
        <v>38968</v>
      </c>
      <c r="D47" s="11" t="n">
        <v>39092</v>
      </c>
      <c r="E47" s="11" t="n">
        <v>39198</v>
      </c>
      <c r="F47" s="10" t="n">
        <f aca="false">(E47-D47)/30</f>
        <v>3.53333333333333</v>
      </c>
      <c r="G47" s="9"/>
      <c r="H47" s="9" t="str">
        <f aca="false">IF(4.6-F47&lt;0, "x","o")</f>
        <v>o</v>
      </c>
      <c r="I47" s="10" t="n">
        <f aca="false">B47+F47</f>
        <v>7.66666666666666</v>
      </c>
      <c r="J47" s="12" t="n">
        <f aca="false">B47*(3.28-0.25)/3.28 + F47</f>
        <v>7.35162601626016</v>
      </c>
      <c r="K47" s="12" t="n">
        <f aca="false">B47*(3.28-$C$79)/3.28 + F47</f>
        <v>5.61479713603818</v>
      </c>
      <c r="L47" s="10" t="n">
        <f aca="false">B47*(3.28-$D$79)/3.28 + F47</f>
        <v>4.36261190100052</v>
      </c>
      <c r="M47" s="10" t="n">
        <f aca="false">B47*(3.28-$E$79)/3.28 + F47</f>
        <v>3.5435390946502</v>
      </c>
    </row>
    <row r="48" customFormat="false" ht="12.8" hidden="false" customHeight="false" outlineLevel="0" collapsed="false">
      <c r="A48" s="9" t="n">
        <v>5</v>
      </c>
      <c r="B48" s="10" t="n">
        <f aca="false">(D48-C48)/30</f>
        <v>4.1</v>
      </c>
      <c r="C48" s="11" t="n">
        <v>39000</v>
      </c>
      <c r="D48" s="11" t="n">
        <v>39123</v>
      </c>
      <c r="E48" s="11" t="n">
        <v>39225</v>
      </c>
      <c r="F48" s="10" t="n">
        <f aca="false">(E48-D48)/30</f>
        <v>3.4</v>
      </c>
      <c r="G48" s="9"/>
      <c r="H48" s="9" t="str">
        <f aca="false">IF(4.6-F48&lt;0, "x","o")</f>
        <v>o</v>
      </c>
      <c r="I48" s="10" t="n">
        <f aca="false">B48+F48</f>
        <v>7.5</v>
      </c>
      <c r="J48" s="12" t="n">
        <f aca="false">B48*(3.28-0.25)/3.28 + F48</f>
        <v>7.1875</v>
      </c>
      <c r="K48" s="12" t="n">
        <f aca="false">B48*(3.28-$C$79)/3.28 + F48</f>
        <v>5.46467780429594</v>
      </c>
      <c r="L48" s="10" t="n">
        <f aca="false">B48*(3.28-$D$79)/3.28 + F48</f>
        <v>4.22259083728277</v>
      </c>
      <c r="M48" s="10" t="n">
        <f aca="false">B48*(3.28-$E$79)/3.28 + F48</f>
        <v>3.41012345679013</v>
      </c>
    </row>
    <row r="49" customFormat="false" ht="12.8" hidden="false" customHeight="false" outlineLevel="0" collapsed="false">
      <c r="A49" s="9" t="n">
        <v>5</v>
      </c>
      <c r="B49" s="10" t="n">
        <f aca="false">(D49-C49)/30</f>
        <v>7.33333333333333</v>
      </c>
      <c r="C49" s="11" t="n">
        <v>56748</v>
      </c>
      <c r="D49" s="11" t="n">
        <v>56968</v>
      </c>
      <c r="E49" s="11" t="n">
        <v>57109</v>
      </c>
      <c r="F49" s="10" t="n">
        <f aca="false">(E49-D49)/30</f>
        <v>4.7</v>
      </c>
      <c r="G49" s="9"/>
      <c r="H49" s="9" t="str">
        <f aca="false">IF(4.6-F49&lt;0, "x","o")</f>
        <v>x</v>
      </c>
      <c r="I49" s="10" t="n">
        <f aca="false">B49+F49</f>
        <v>12.0333333333333</v>
      </c>
      <c r="J49" s="12" t="n">
        <f aca="false">B49*(3.28-0.25)/3.28 + F49</f>
        <v>11.4743902439024</v>
      </c>
      <c r="K49" s="12" t="n">
        <f aca="false">B49*(3.28-$C$79)/3.28 + F49</f>
        <v>8.39291964996021</v>
      </c>
      <c r="L49" s="10" t="n">
        <f aca="false">B49*(3.28-$D$79)/3.28 + F49</f>
        <v>6.17130068457082</v>
      </c>
      <c r="M49" s="10" t="n">
        <f aca="false">B49*(3.28-$E$79)/3.28 + F49</f>
        <v>4.71810699588478</v>
      </c>
    </row>
    <row r="50" customFormat="false" ht="12.8" hidden="false" customHeight="false" outlineLevel="0" collapsed="false">
      <c r="A50" s="9" t="n">
        <v>5</v>
      </c>
      <c r="B50" s="10" t="n">
        <f aca="false">(D50-C50)/30</f>
        <v>8.16666666666667</v>
      </c>
      <c r="C50" s="11" t="n">
        <v>81339</v>
      </c>
      <c r="D50" s="11" t="n">
        <v>81584</v>
      </c>
      <c r="E50" s="11" t="n">
        <v>81750</v>
      </c>
      <c r="F50" s="10" t="n">
        <f aca="false">(E50-D50)/30</f>
        <v>5.53333333333333</v>
      </c>
      <c r="G50" s="9"/>
      <c r="H50" s="9" t="str">
        <f aca="false">IF(4.6-F50&lt;0, "x","o")</f>
        <v>x</v>
      </c>
      <c r="I50" s="10" t="n">
        <f aca="false">B50+F50</f>
        <v>13.7</v>
      </c>
      <c r="J50" s="12" t="n">
        <f aca="false">B50*(3.28-0.25)/3.28 + F50</f>
        <v>13.0775406504065</v>
      </c>
      <c r="K50" s="12" t="n">
        <f aca="false">B50*(3.28-$C$79)/3.28 + F50</f>
        <v>9.6459029435163</v>
      </c>
      <c r="L50" s="10" t="n">
        <f aca="false">B50*(3.28-$D$79)/3.28 + F50</f>
        <v>7.17182727751447</v>
      </c>
      <c r="M50" s="10" t="n">
        <f aca="false">B50*(3.28-$E$79)/3.28 + F50</f>
        <v>5.55349794238683</v>
      </c>
    </row>
    <row r="51" customFormat="false" ht="12.8" hidden="false" customHeight="false" outlineLevel="0" collapsed="false">
      <c r="A51" s="9" t="n">
        <v>5</v>
      </c>
      <c r="B51" s="10" t="n">
        <f aca="false">(D51-C51)/30</f>
        <v>9</v>
      </c>
      <c r="C51" s="11" t="n">
        <v>82420</v>
      </c>
      <c r="D51" s="11" t="n">
        <v>82690</v>
      </c>
      <c r="E51" s="11" t="n">
        <v>82797</v>
      </c>
      <c r="F51" s="10" t="n">
        <f aca="false">(E51-D51)/30</f>
        <v>3.56666666666667</v>
      </c>
      <c r="G51" s="9"/>
      <c r="H51" s="9" t="str">
        <f aca="false">IF(4.6-F51&lt;0, "x","o")</f>
        <v>o</v>
      </c>
      <c r="I51" s="10" t="n">
        <f aca="false">B51+F51</f>
        <v>12.5666666666667</v>
      </c>
      <c r="J51" s="12" t="n">
        <f aca="false">B51*(3.28-0.25)/3.28 + F51</f>
        <v>11.8806910569106</v>
      </c>
      <c r="K51" s="12" t="n">
        <f aca="false">B51*(3.28-$C$79)/3.28 + F51</f>
        <v>8.09888623707239</v>
      </c>
      <c r="L51" s="10" t="n">
        <f aca="false">B51*(3.28-$D$79)/3.28 + F51</f>
        <v>5.37235387045813</v>
      </c>
      <c r="M51" s="10" t="n">
        <f aca="false">B51*(3.28-$E$79)/3.28 + F51</f>
        <v>3.5888888888889</v>
      </c>
    </row>
    <row r="52" customFormat="false" ht="12.8" hidden="false" customHeight="false" outlineLevel="0" collapsed="false">
      <c r="A52" s="9" t="n">
        <v>5</v>
      </c>
      <c r="B52" s="10" t="n">
        <f aca="false">(D52-C52)/30</f>
        <v>5.73333333333333</v>
      </c>
      <c r="C52" s="11" t="n">
        <v>83248</v>
      </c>
      <c r="D52" s="11" t="n">
        <v>83420</v>
      </c>
      <c r="E52" s="11" t="n">
        <v>83487</v>
      </c>
      <c r="F52" s="10" t="n">
        <f aca="false">(E52-D52)/30</f>
        <v>2.23333333333333</v>
      </c>
      <c r="G52" s="9"/>
      <c r="H52" s="9" t="str">
        <f aca="false">IF(4.6-F52&lt;0, "x","o")</f>
        <v>o</v>
      </c>
      <c r="I52" s="10" t="n">
        <f aca="false">B52+F52</f>
        <v>7.96666666666666</v>
      </c>
      <c r="J52" s="12" t="n">
        <f aca="false">B52*(3.28-0.25)/3.28 + F52</f>
        <v>7.52967479674796</v>
      </c>
      <c r="K52" s="12" t="n">
        <f aca="false">B52*(3.28-$C$79)/3.28 + F52</f>
        <v>5.12052505966586</v>
      </c>
      <c r="L52" s="10" t="n">
        <f aca="false">B52*(3.28-$D$79)/3.28 + F52</f>
        <v>3.38362295945233</v>
      </c>
      <c r="M52" s="10" t="n">
        <f aca="false">B52*(3.28-$E$79)/3.28 + F52</f>
        <v>2.24748971193415</v>
      </c>
    </row>
    <row r="53" customFormat="false" ht="12.8" hidden="false" customHeight="false" outlineLevel="0" collapsed="false">
      <c r="A53" s="9" t="n">
        <v>5</v>
      </c>
      <c r="B53" s="10" t="n">
        <f aca="false">(D53-C53)/30</f>
        <v>3.76666666666667</v>
      </c>
      <c r="C53" s="11" t="n">
        <v>91437</v>
      </c>
      <c r="D53" s="11" t="n">
        <v>91550</v>
      </c>
      <c r="E53" s="11" t="n">
        <v>91635</v>
      </c>
      <c r="F53" s="10" t="n">
        <f aca="false">(E53-D53)/30</f>
        <v>2.83333333333333</v>
      </c>
      <c r="G53" s="9"/>
      <c r="H53" s="9" t="str">
        <f aca="false">IF(4.6-F53&lt;0, "x","o")</f>
        <v>o</v>
      </c>
      <c r="I53" s="10" t="n">
        <f aca="false">B53+F53</f>
        <v>6.6</v>
      </c>
      <c r="J53" s="12" t="n">
        <f aca="false">B53*(3.28-0.25)/3.28 + F53</f>
        <v>6.31290650406504</v>
      </c>
      <c r="K53" s="12" t="n">
        <f aca="false">B53*(3.28-$C$79)/3.28 + F53</f>
        <v>4.73015115354017</v>
      </c>
      <c r="L53" s="10" t="n">
        <f aca="false">B53*(3.28-$D$79)/3.28 + F53</f>
        <v>3.58904686677198</v>
      </c>
      <c r="M53" s="10" t="n">
        <f aca="false">B53*(3.28-$E$79)/3.28 + F53</f>
        <v>2.84263374485597</v>
      </c>
    </row>
    <row r="54" customFormat="false" ht="12.8" hidden="false" customHeight="false" outlineLevel="0" collapsed="false">
      <c r="A54" s="9" t="n">
        <v>5</v>
      </c>
      <c r="B54" s="10" t="n">
        <f aca="false">(D54-C54)/30</f>
        <v>7.63333333333333</v>
      </c>
      <c r="C54" s="11" t="n">
        <v>101528</v>
      </c>
      <c r="D54" s="11" t="n">
        <v>101757</v>
      </c>
      <c r="E54" s="11" t="n">
        <v>101829</v>
      </c>
      <c r="F54" s="10" t="n">
        <f aca="false">(E54-D54)/30</f>
        <v>2.4</v>
      </c>
      <c r="G54" s="9"/>
      <c r="H54" s="9" t="str">
        <f aca="false">IF(4.6-F54&lt;0, "x","o")</f>
        <v>o</v>
      </c>
      <c r="I54" s="10" t="n">
        <f aca="false">B54+F54</f>
        <v>10.0333333333333</v>
      </c>
      <c r="J54" s="12" t="n">
        <f aca="false">B54*(3.28-0.25)/3.28 + F54</f>
        <v>9.4515243902439</v>
      </c>
      <c r="K54" s="12" t="n">
        <f aca="false">B54*(3.28-$C$79)/3.28 + F54</f>
        <v>6.2439936356404</v>
      </c>
      <c r="L54" s="10" t="n">
        <f aca="false">B54*(3.28-$D$79)/3.28 + F54</f>
        <v>3.93149025803053</v>
      </c>
      <c r="M54" s="10" t="n">
        <f aca="false">B54*(3.28-$E$79)/3.28 + F54</f>
        <v>2.41884773662552</v>
      </c>
    </row>
    <row r="55" customFormat="false" ht="12.8" hidden="false" customHeight="false" outlineLevel="0" collapsed="false">
      <c r="A55" s="9" t="n">
        <v>5</v>
      </c>
      <c r="B55" s="10" t="n">
        <f aca="false">(D55-C55)/30</f>
        <v>4.23333333333333</v>
      </c>
      <c r="C55" s="11" t="n">
        <v>109228</v>
      </c>
      <c r="D55" s="11" t="n">
        <v>109355</v>
      </c>
      <c r="E55" s="11" t="n">
        <v>109442</v>
      </c>
      <c r="F55" s="10" t="n">
        <f aca="false">(E55-D55)/30</f>
        <v>2.9</v>
      </c>
      <c r="G55" s="9"/>
      <c r="H55" s="9" t="str">
        <f aca="false">IF(4.6-F55&lt;0, "x","o")</f>
        <v>o</v>
      </c>
      <c r="I55" s="10" t="n">
        <f aca="false">B55+F55</f>
        <v>7.13333333333333</v>
      </c>
      <c r="J55" s="12" t="n">
        <f aca="false">B55*(3.28-0.25)/3.28 + F55</f>
        <v>6.81067073170731</v>
      </c>
      <c r="K55" s="12" t="n">
        <f aca="false">B55*(3.28-$C$79)/3.28 + F55</f>
        <v>5.03182179793158</v>
      </c>
      <c r="L55" s="10" t="n">
        <f aca="false">B55*(3.28-$D$79)/3.28 + F55</f>
        <v>3.74934175882043</v>
      </c>
      <c r="M55" s="10" t="n">
        <f aca="false">B55*(3.28-$E$79)/3.28 + F55</f>
        <v>2.91045267489712</v>
      </c>
    </row>
    <row r="56" customFormat="false" ht="12.8" hidden="false" customHeight="false" outlineLevel="0" collapsed="false">
      <c r="A56" s="9" t="n">
        <v>5</v>
      </c>
      <c r="B56" s="10" t="n">
        <f aca="false">(D56-C56)/30</f>
        <v>3.6</v>
      </c>
      <c r="C56" s="11" t="n">
        <v>109280</v>
      </c>
      <c r="D56" s="11" t="n">
        <v>109388</v>
      </c>
      <c r="E56" s="11" t="n">
        <v>109469</v>
      </c>
      <c r="F56" s="10" t="n">
        <f aca="false">(E56-D56)/30</f>
        <v>2.7</v>
      </c>
      <c r="G56" s="9"/>
      <c r="H56" s="9" t="str">
        <f aca="false">IF(4.6-F56&lt;0, "x","o")</f>
        <v>o</v>
      </c>
      <c r="I56" s="10" t="n">
        <f aca="false">B56+F56</f>
        <v>6.3</v>
      </c>
      <c r="J56" s="12" t="n">
        <f aca="false">B56*(3.28-0.25)/3.28 + F56</f>
        <v>6.02560975609756</v>
      </c>
      <c r="K56" s="12" t="n">
        <f aca="false">B56*(3.28-$C$79)/3.28 + F56</f>
        <v>4.51288782816229</v>
      </c>
      <c r="L56" s="10" t="n">
        <f aca="false">B56*(3.28-$D$79)/3.28 + F56</f>
        <v>3.42227488151658</v>
      </c>
      <c r="M56" s="10" t="n">
        <f aca="false">B56*(3.28-$E$79)/3.28 + F56</f>
        <v>2.70888888888889</v>
      </c>
    </row>
    <row r="57" customFormat="false" ht="12.8" hidden="false" customHeight="false" outlineLevel="0" collapsed="false">
      <c r="A57" s="9" t="n">
        <v>5</v>
      </c>
      <c r="B57" s="10" t="n">
        <f aca="false">(D57-C57)/30</f>
        <v>6.23333333333333</v>
      </c>
      <c r="C57" s="11" t="n">
        <v>110170</v>
      </c>
      <c r="D57" s="11" t="n">
        <v>110357</v>
      </c>
      <c r="E57" s="11" t="n">
        <v>110425</v>
      </c>
      <c r="F57" s="10" t="n">
        <f aca="false">(E57-D57)/30</f>
        <v>2.26666666666667</v>
      </c>
      <c r="G57" s="9"/>
      <c r="H57" s="9" t="str">
        <f aca="false">IF(4.6-F57&lt;0, "x","o")</f>
        <v>o</v>
      </c>
      <c r="I57" s="10" t="n">
        <f aca="false">B57+F57</f>
        <v>8.5</v>
      </c>
      <c r="J57" s="12" t="n">
        <f aca="false">B57*(3.28-0.25)/3.28 + F57</f>
        <v>8.02489837398374</v>
      </c>
      <c r="K57" s="12" t="n">
        <f aca="false">B57*(3.28-$C$79)/3.28 + F57</f>
        <v>5.40564836913285</v>
      </c>
      <c r="L57" s="10" t="n">
        <f aca="false">B57*(3.28-$D$79)/3.28 + F57</f>
        <v>3.51727224855186</v>
      </c>
      <c r="M57" s="10" t="n">
        <f aca="false">B57*(3.28-$E$79)/3.28 + F57</f>
        <v>2.28205761316873</v>
      </c>
    </row>
    <row r="58" customFormat="false" ht="12.8" hidden="false" customHeight="false" outlineLevel="0" collapsed="false">
      <c r="A58" s="9" t="n">
        <v>5</v>
      </c>
      <c r="B58" s="10" t="n">
        <f aca="false">(D58-C58)/30</f>
        <v>8.23333333333333</v>
      </c>
      <c r="C58" s="9" t="n">
        <v>111678</v>
      </c>
      <c r="D58" s="9" t="n">
        <v>111925</v>
      </c>
      <c r="E58" s="9" t="n">
        <v>112040</v>
      </c>
      <c r="F58" s="10" t="n">
        <f aca="false">(E58-D58)/30</f>
        <v>3.83333333333333</v>
      </c>
      <c r="G58" s="9"/>
      <c r="H58" s="9" t="str">
        <f aca="false">IF(4.6-F58&lt;0, "x","o")</f>
        <v>o</v>
      </c>
      <c r="I58" s="10" t="n">
        <f aca="false">B58+F58</f>
        <v>12.0666666666667</v>
      </c>
      <c r="J58" s="12" t="n">
        <f aca="false">B58*(3.28-0.25)/3.28 + F58</f>
        <v>11.4391260162602</v>
      </c>
      <c r="K58" s="12" t="n">
        <f aca="false">B58*(3.28-$C$79)/3.28 + F58</f>
        <v>7.97947494033411</v>
      </c>
      <c r="L58" s="10" t="n">
        <f aca="false">B58*(3.28-$D$79)/3.28 + F58</f>
        <v>5.48520273828329</v>
      </c>
      <c r="M58" s="10" t="n">
        <f aca="false">B58*(3.28-$E$79)/3.28 + F58</f>
        <v>3.85366255144033</v>
      </c>
    </row>
    <row r="59" customFormat="false" ht="12.8" hidden="false" customHeight="false" outlineLevel="0" collapsed="false">
      <c r="A59" s="9" t="n">
        <v>5</v>
      </c>
      <c r="B59" s="10" t="n">
        <f aca="false">(D59-C59)/30</f>
        <v>6.26666666666667</v>
      </c>
      <c r="C59" s="9" t="n">
        <v>111852</v>
      </c>
      <c r="D59" s="9" t="n">
        <v>112040</v>
      </c>
      <c r="E59" s="9" t="n">
        <v>112134</v>
      </c>
      <c r="F59" s="10" t="n">
        <f aca="false">(E59-D59)/30</f>
        <v>3.13333333333333</v>
      </c>
      <c r="G59" s="9"/>
      <c r="H59" s="9" t="str">
        <f aca="false">IF(4.6-F59&lt;0, "x","o")</f>
        <v>o</v>
      </c>
      <c r="I59" s="10" t="n">
        <f aca="false">B59+F59</f>
        <v>9.4</v>
      </c>
      <c r="J59" s="12" t="n">
        <f aca="false">B59*(3.28-0.25)/3.28 + F59</f>
        <v>8.92235772357724</v>
      </c>
      <c r="K59" s="12" t="n">
        <f aca="false">B59*(3.28-$C$79)/3.28 + F59</f>
        <v>6.28910103420842</v>
      </c>
      <c r="L59" s="10" t="n">
        <f aca="false">B59*(3.28-$D$79)/3.28 + F59</f>
        <v>4.39062664560294</v>
      </c>
      <c r="M59" s="10" t="n">
        <f aca="false">B59*(3.28-$E$79)/3.28 + F59</f>
        <v>3.14880658436214</v>
      </c>
    </row>
    <row r="60" customFormat="false" ht="12.8" hidden="false" customHeight="false" outlineLevel="0" collapsed="false">
      <c r="A60" s="9" t="n">
        <v>5</v>
      </c>
      <c r="B60" s="10" t="n">
        <f aca="false">(D60-C60)/30</f>
        <v>3.8</v>
      </c>
      <c r="C60" s="9" t="n">
        <v>137876</v>
      </c>
      <c r="D60" s="9" t="n">
        <v>137990</v>
      </c>
      <c r="E60" s="9" t="n">
        <v>138056</v>
      </c>
      <c r="F60" s="10" t="n">
        <f aca="false">(E60-D60)/30</f>
        <v>2.2</v>
      </c>
      <c r="G60" s="9"/>
      <c r="H60" s="9" t="str">
        <f aca="false">IF(4.6-F60&lt;0, "x","o")</f>
        <v>o</v>
      </c>
      <c r="I60" s="10" t="n">
        <f aca="false">B60+F60</f>
        <v>6</v>
      </c>
      <c r="J60" s="12" t="n">
        <f aca="false">B60*(3.28-0.25)/3.28 + F60</f>
        <v>5.71036585365854</v>
      </c>
      <c r="K60" s="12" t="n">
        <f aca="false">B60*(3.28-$C$79)/3.28 + F60</f>
        <v>4.11360381861575</v>
      </c>
      <c r="L60" s="10" t="n">
        <f aca="false">B60*(3.28-$D$79)/3.28 + F60</f>
        <v>2.96240126382306</v>
      </c>
      <c r="M60" s="10" t="n">
        <f aca="false">B60*(3.28-$E$79)/3.28 + F60</f>
        <v>2.20938271604938</v>
      </c>
    </row>
    <row r="61" customFormat="false" ht="12.8" hidden="false" customHeight="false" outlineLevel="0" collapsed="false">
      <c r="A61" s="9" t="n">
        <v>5</v>
      </c>
      <c r="B61" s="10" t="n">
        <f aca="false">(D61-C61)/30</f>
        <v>5.66666666666667</v>
      </c>
      <c r="C61" s="9" t="n">
        <v>148206</v>
      </c>
      <c r="D61" s="9" t="n">
        <v>148376</v>
      </c>
      <c r="E61" s="9" t="n">
        <v>148476</v>
      </c>
      <c r="F61" s="10" t="n">
        <f aca="false">(E61-D61)/30</f>
        <v>3.33333333333333</v>
      </c>
      <c r="G61" s="9"/>
      <c r="H61" s="9" t="str">
        <f aca="false">IF(4.6-F61&lt;0, "x","o")</f>
        <v>o</v>
      </c>
      <c r="I61" s="10" t="n">
        <f aca="false">B61+F61</f>
        <v>9</v>
      </c>
      <c r="J61" s="12" t="n">
        <f aca="false">B61*(3.28-0.25)/3.28 + F61</f>
        <v>8.56808943089431</v>
      </c>
      <c r="K61" s="12" t="n">
        <f aca="false">B61*(3.28-$C$79)/3.28 + F61</f>
        <v>6.18695306284804</v>
      </c>
      <c r="L61" s="10" t="n">
        <f aca="false">B61*(3.28-$D$79)/3.28 + F61</f>
        <v>4.47024749868351</v>
      </c>
      <c r="M61" s="10" t="n">
        <f aca="false">B61*(3.28-$E$79)/3.28 + F61</f>
        <v>3.34732510288066</v>
      </c>
    </row>
    <row r="62" customFormat="false" ht="12.8" hidden="false" customHeight="false" outlineLevel="0" collapsed="false">
      <c r="A62" s="9" t="n">
        <v>5</v>
      </c>
      <c r="B62" s="10" t="n">
        <f aca="false">(D62-C62)/30</f>
        <v>4.63333333333333</v>
      </c>
      <c r="C62" s="9" t="n">
        <v>148370</v>
      </c>
      <c r="D62" s="9" t="n">
        <v>148509</v>
      </c>
      <c r="E62" s="9" t="n">
        <v>148580</v>
      </c>
      <c r="F62" s="10" t="n">
        <f aca="false">(E62-D62)/30</f>
        <v>2.36666666666667</v>
      </c>
      <c r="G62" s="9"/>
      <c r="H62" s="9" t="str">
        <f aca="false">IF(4.6-F62&lt;0, "x","o")</f>
        <v>o</v>
      </c>
      <c r="I62" s="10" t="n">
        <f aca="false">B62+F62</f>
        <v>7</v>
      </c>
      <c r="J62" s="12" t="n">
        <f aca="false">B62*(3.28-0.25)/3.28 + F62</f>
        <v>6.64684959349594</v>
      </c>
      <c r="K62" s="12" t="n">
        <f aca="false">B62*(3.28-$C$79)/3.28 + F62</f>
        <v>4.69992044550517</v>
      </c>
      <c r="L62" s="10" t="n">
        <f aca="false">B62*(3.28-$D$79)/3.28 + F62</f>
        <v>3.29626119010005</v>
      </c>
      <c r="M62" s="10" t="n">
        <f aca="false">B62*(3.28-$E$79)/3.28 + F62</f>
        <v>2.37810699588478</v>
      </c>
    </row>
    <row r="63" customFormat="false" ht="12.8" hidden="false" customHeight="false" outlineLevel="0" collapsed="false">
      <c r="A63" s="9" t="n">
        <v>5</v>
      </c>
      <c r="B63" s="10" t="n">
        <f aca="false">(D63-C63)/30</f>
        <v>8.03333333333333</v>
      </c>
      <c r="C63" s="9" t="n">
        <v>155891</v>
      </c>
      <c r="D63" s="9" t="n">
        <v>156132</v>
      </c>
      <c r="E63" s="9" t="n">
        <v>156320</v>
      </c>
      <c r="F63" s="10" t="n">
        <f aca="false">(E63-D63)/30</f>
        <v>6.26666666666667</v>
      </c>
      <c r="G63" s="13" t="s">
        <v>24</v>
      </c>
      <c r="H63" s="9" t="str">
        <f aca="false">IF(4.6-F63&lt;0, "x","o")</f>
        <v>x</v>
      </c>
      <c r="I63" s="10" t="n">
        <f aca="false">B63+F63</f>
        <v>14.3</v>
      </c>
      <c r="J63" s="12" t="n">
        <f aca="false">B63*(3.28-0.25)/3.28 + F63</f>
        <v>13.6877032520325</v>
      </c>
      <c r="K63" s="12" t="n">
        <f aca="false">B63*(3.28-$C$79)/3.28 + F63</f>
        <v>10.312092283214</v>
      </c>
      <c r="L63" s="10" t="n">
        <f aca="false">B63*(3.28-$D$79)/3.28 + F63</f>
        <v>7.87840968931015</v>
      </c>
      <c r="M63" s="10" t="n">
        <f aca="false">B63*(3.28-$E$79)/3.28 + F63</f>
        <v>6.28650205761318</v>
      </c>
    </row>
    <row r="64" customFormat="false" ht="12.8" hidden="false" customHeight="false" outlineLevel="0" collapsed="false">
      <c r="G64" s="15" t="s">
        <v>25</v>
      </c>
      <c r="H64" s="15"/>
      <c r="I64" s="16" t="n">
        <f aca="false">COUNTIF(I3:I63,"&lt;4.6")</f>
        <v>0</v>
      </c>
      <c r="J64" s="16" t="n">
        <f aca="false">COUNTIF(J3:J63,"&lt;4.6")</f>
        <v>0</v>
      </c>
      <c r="K64" s="16" t="n">
        <f aca="false">COUNTIF(K3:K63,"&lt;4.6")</f>
        <v>5</v>
      </c>
      <c r="L64" s="16" t="n">
        <f aca="false">COUNTIF(L3:L63,"&lt;4.6")</f>
        <v>33</v>
      </c>
      <c r="M64" s="16" t="n">
        <f aca="false">COUNTIF(M3:M63,"&lt;4.6")</f>
        <v>51</v>
      </c>
    </row>
    <row r="65" customFormat="false" ht="12.8" hidden="false" customHeight="false" outlineLevel="0" collapsed="false">
      <c r="G65" s="15" t="s">
        <v>26</v>
      </c>
      <c r="H65" s="15"/>
      <c r="I65" s="16" t="n">
        <v>0</v>
      </c>
      <c r="J65" s="16" t="n">
        <v>1</v>
      </c>
      <c r="K65" s="16" t="n">
        <v>1</v>
      </c>
      <c r="L65" s="16" t="n">
        <v>2</v>
      </c>
      <c r="M65" s="16" t="n">
        <v>3</v>
      </c>
    </row>
    <row r="66" customFormat="false" ht="12.8" hidden="false" customHeight="false" outlineLevel="0" collapsed="false">
      <c r="G66" s="15" t="s">
        <v>27</v>
      </c>
      <c r="H66" s="15"/>
      <c r="I66" s="16" t="n">
        <f aca="false">MIN(I3:I63)</f>
        <v>4.83333333333333</v>
      </c>
      <c r="J66" s="16" t="n">
        <f aca="false">MIN(J3:J63)</f>
        <v>4.60467479674797</v>
      </c>
      <c r="K66" s="16" t="n">
        <f aca="false">MIN(K3:K63)</f>
        <v>3.34407319013524</v>
      </c>
      <c r="L66" s="16" t="n">
        <f aca="false">MIN(L3:L63)</f>
        <v>2.43522906793048</v>
      </c>
      <c r="M66" s="16" t="n">
        <f aca="false">MIN(M3:M63)</f>
        <v>1.84074074074074</v>
      </c>
    </row>
    <row r="67" customFormat="false" ht="12.8" hidden="false" customHeight="false" outlineLevel="0" collapsed="false">
      <c r="G67" s="17" t="s">
        <v>28</v>
      </c>
      <c r="H67" s="17"/>
      <c r="I67" s="18" t="n">
        <f aca="false">MAX(I3:I63)</f>
        <v>18.9666666666667</v>
      </c>
      <c r="J67" s="18" t="n">
        <f aca="false">MAX(J3:J63)</f>
        <v>18.0596544715447</v>
      </c>
      <c r="K67" s="18" t="n">
        <f aca="false">MAX(K3:K63)</f>
        <v>13.0592680986476</v>
      </c>
      <c r="L67" s="18" t="n">
        <f aca="false">MAX(L3:L63)</f>
        <v>9.45418641390204</v>
      </c>
      <c r="M67" s="18" t="n">
        <f aca="false">MAX(M3:M63)</f>
        <v>7.64534979423868</v>
      </c>
    </row>
    <row r="68" customFormat="false" ht="15.65" hidden="false" customHeight="false" outlineLevel="0" collapsed="false">
      <c r="G68" s="19" t="s">
        <v>29</v>
      </c>
      <c r="H68" s="19"/>
      <c r="I68" s="18" t="n">
        <f aca="false">COUNTIF(I3:I63, "&gt;4.6")</f>
        <v>61</v>
      </c>
      <c r="J68" s="18" t="n">
        <f aca="false">COUNTIF(J3:J63, "&gt;4.6")</f>
        <v>61</v>
      </c>
      <c r="K68" s="18" t="n">
        <f aca="false">COUNTIF(K3:K63, "&gt;4.6")</f>
        <v>56</v>
      </c>
      <c r="L68" s="18" t="n">
        <f aca="false">COUNTIF(L3:L63, "&gt;4.6")</f>
        <v>28</v>
      </c>
      <c r="M68" s="18" t="n">
        <f aca="false">COUNTIF(M3:M63, "&gt;4.6")</f>
        <v>10</v>
      </c>
    </row>
    <row r="69" customFormat="false" ht="15.65" hidden="false" customHeight="false" outlineLevel="0" collapsed="false">
      <c r="G69" s="19" t="s">
        <v>30</v>
      </c>
      <c r="H69" s="19"/>
      <c r="I69" s="20" t="n">
        <f aca="false">COUNTIF(I3:I63, "&gt;5.6")</f>
        <v>59</v>
      </c>
      <c r="J69" s="20" t="n">
        <f aca="false">COUNTIF(J3:J63, "&gt;5.6")</f>
        <v>59</v>
      </c>
      <c r="K69" s="20" t="n">
        <f aca="false">COUNTIF(K3:K63, "&gt;5.6")</f>
        <v>44</v>
      </c>
      <c r="L69" s="20" t="n">
        <f aca="false">COUNTIF(L3:L63, "&gt;5.6")</f>
        <v>15</v>
      </c>
      <c r="M69" s="20" t="n">
        <f aca="false">COUNTIF(M3:M63, "&gt;5.6")</f>
        <v>3</v>
      </c>
    </row>
    <row r="70" customFormat="false" ht="15.65" hidden="false" customHeight="false" outlineLevel="0" collapsed="false">
      <c r="A70" s="9"/>
      <c r="B70" s="9"/>
      <c r="C70" s="21" t="s">
        <v>31</v>
      </c>
      <c r="D70" s="21"/>
      <c r="E70" s="21"/>
      <c r="G70" s="19" t="s">
        <v>32</v>
      </c>
      <c r="H70" s="19"/>
      <c r="I70" s="20" t="n">
        <f aca="false">COUNTIF(I3:I63, "&gt;6.6")</f>
        <v>55</v>
      </c>
      <c r="J70" s="20" t="n">
        <f aca="false">COUNTIF(J3:J63, "&gt;6.6")</f>
        <v>54</v>
      </c>
      <c r="K70" s="20" t="n">
        <f aca="false">COUNTIF(K3:K63, "&gt;6.6")</f>
        <v>30</v>
      </c>
      <c r="L70" s="20" t="n">
        <f aca="false">COUNTIF(L3:L63, "&gt;6.6")</f>
        <v>5</v>
      </c>
      <c r="M70" s="20" t="n">
        <f aca="false">COUNTIF(M3:M63, "&gt;6.6")</f>
        <v>2</v>
      </c>
    </row>
    <row r="71" customFormat="false" ht="15.65" hidden="false" customHeight="false" outlineLevel="0" collapsed="false">
      <c r="A71" s="9"/>
      <c r="B71" s="9"/>
      <c r="C71" s="21" t="s">
        <v>33</v>
      </c>
      <c r="D71" s="21" t="s">
        <v>34</v>
      </c>
      <c r="E71" s="21" t="s">
        <v>35</v>
      </c>
      <c r="G71" s="19" t="s">
        <v>36</v>
      </c>
      <c r="H71" s="19"/>
      <c r="I71" s="20" t="n">
        <f aca="false">COUNTIF(I3:I63, "&gt;7.6")</f>
        <v>48</v>
      </c>
      <c r="J71" s="20" t="n">
        <f aca="false">COUNTIF(J3:J63, "&gt;7.6")</f>
        <v>45</v>
      </c>
      <c r="K71" s="20" t="n">
        <f aca="false">COUNTIF(K3:K63, "&gt;7.6")</f>
        <v>17</v>
      </c>
      <c r="L71" s="20" t="n">
        <f aca="false">COUNTIF(L3:L63, "&gt;7.6")</f>
        <v>3</v>
      </c>
      <c r="M71" s="20" t="n">
        <f aca="false">COUNTIF(M3:M63, "&gt;7.6")</f>
        <v>1</v>
      </c>
    </row>
    <row r="72" customFormat="false" ht="12.8" hidden="false" customHeight="false" outlineLevel="0" collapsed="false">
      <c r="A72" s="22" t="s">
        <v>37</v>
      </c>
      <c r="B72" s="22" t="s">
        <v>38</v>
      </c>
      <c r="C72" s="10" t="n">
        <v>3.28</v>
      </c>
      <c r="D72" s="10"/>
      <c r="E72" s="10"/>
      <c r="G72" s="19" t="n">
        <v>8.6</v>
      </c>
      <c r="H72" s="19"/>
      <c r="I72" s="20" t="n">
        <f aca="false">COUNTIF(I3:I63, "&gt;8.6")</f>
        <v>43</v>
      </c>
      <c r="J72" s="20" t="n">
        <f aca="false">COUNTIF(J3:J63, "&gt;8.6")</f>
        <v>37</v>
      </c>
      <c r="K72" s="20" t="n">
        <f aca="false">COUNTIF(K3:K63, "&gt;8.6")</f>
        <v>10</v>
      </c>
      <c r="L72" s="20" t="n">
        <f aca="false">COUNTIF(L3:L63, "&gt;8.6")</f>
        <v>2</v>
      </c>
      <c r="M72" s="20" t="n">
        <f aca="false">COUNTIF(M3:M63, "&gt;8.6")</f>
        <v>0</v>
      </c>
    </row>
    <row r="73" customFormat="false" ht="12.8" hidden="false" customHeight="false" outlineLevel="0" collapsed="false">
      <c r="A73" s="22"/>
      <c r="B73" s="22" t="s">
        <v>39</v>
      </c>
      <c r="C73" s="10" t="n">
        <v>6</v>
      </c>
      <c r="D73" s="10"/>
      <c r="E73" s="10"/>
    </row>
    <row r="74" customFormat="false" ht="12.8" hidden="false" customHeight="false" outlineLevel="0" collapsed="false">
      <c r="A74" s="22"/>
      <c r="B74" s="22" t="s">
        <v>40</v>
      </c>
      <c r="C74" s="10" t="n">
        <v>4.6</v>
      </c>
      <c r="D74" s="10"/>
      <c r="E74" s="10"/>
    </row>
    <row r="75" customFormat="false" ht="12.8" hidden="false" customHeight="false" outlineLevel="0" collapsed="false">
      <c r="A75" s="22" t="s">
        <v>41</v>
      </c>
      <c r="B75" s="22" t="s">
        <v>42</v>
      </c>
      <c r="C75" s="10" t="n">
        <v>4.19</v>
      </c>
      <c r="D75" s="10" t="n">
        <v>6.33</v>
      </c>
      <c r="E75" s="10" t="n">
        <v>8.1</v>
      </c>
    </row>
    <row r="76" customFormat="false" ht="12.8" hidden="false" customHeight="false" outlineLevel="0" collapsed="false">
      <c r="A76" s="22"/>
      <c r="B76" s="22" t="s">
        <v>43</v>
      </c>
      <c r="C76" s="10" t="n">
        <v>2.49</v>
      </c>
      <c r="D76" s="10" t="n">
        <v>3.33</v>
      </c>
      <c r="E76" s="10" t="n">
        <v>4.58</v>
      </c>
    </row>
    <row r="77" customFormat="false" ht="12.8" hidden="false" customHeight="false" outlineLevel="0" collapsed="false">
      <c r="A77" s="22"/>
      <c r="B77" s="22" t="s">
        <v>44</v>
      </c>
      <c r="C77" s="10" t="n">
        <f aca="false">C75+C76</f>
        <v>6.68</v>
      </c>
      <c r="D77" s="10" t="n">
        <f aca="false">D75+D76</f>
        <v>9.66</v>
      </c>
      <c r="E77" s="10" t="n">
        <f aca="false">E75+E76</f>
        <v>12.68</v>
      </c>
    </row>
    <row r="78" customFormat="false" ht="12.8" hidden="false" customHeight="false" outlineLevel="0" collapsed="false">
      <c r="A78" s="22"/>
      <c r="B78" s="22" t="s">
        <v>45</v>
      </c>
      <c r="C78" s="10" t="n">
        <f aca="false">C75*C79/$C$72</f>
        <v>2.08</v>
      </c>
      <c r="D78" s="10" t="n">
        <f aca="false">D75*D79/$C$72</f>
        <v>5.06</v>
      </c>
      <c r="E78" s="10" t="n">
        <f aca="false">E75*E79/$C$72</f>
        <v>8.08</v>
      </c>
    </row>
    <row r="79" customFormat="false" ht="12.8" hidden="false" customHeight="false" outlineLevel="0" collapsed="false">
      <c r="A79" s="22" t="s">
        <v>46</v>
      </c>
      <c r="B79" s="22"/>
      <c r="C79" s="10" t="n">
        <f aca="false">$C$72 * ( 1 - (  ($C$74-C76) / C75) )</f>
        <v>1.62825775656325</v>
      </c>
      <c r="D79" s="10" t="n">
        <f aca="false">$C$72 * ( 1 - (  ( $C$74 - D76 ) / D75  )  )</f>
        <v>2.62192733017378</v>
      </c>
      <c r="E79" s="10" t="n">
        <f aca="false">$C$72*(1-(($C$74-E76)/E75))</f>
        <v>3.2719012345679</v>
      </c>
      <c r="F79" s="1" t="n">
        <f aca="false">6+3.28</f>
        <v>9.28</v>
      </c>
    </row>
    <row r="80" customFormat="false" ht="12.8" hidden="false" customHeight="false" outlineLevel="0" collapsed="false">
      <c r="A80" s="23" t="s">
        <v>47</v>
      </c>
      <c r="B80" s="23"/>
      <c r="C80" s="10" t="n">
        <f aca="false">6+(3.28-C79)</f>
        <v>7.65174224343675</v>
      </c>
      <c r="D80" s="10" t="n">
        <f aca="false">6+(3.28-D79)</f>
        <v>6.65807266982622</v>
      </c>
      <c r="E80" s="10" t="n">
        <f aca="false">6+(3.28-E79)</f>
        <v>6.0080987654321</v>
      </c>
    </row>
  </sheetData>
  <mergeCells count="10">
    <mergeCell ref="O1:Q1"/>
    <mergeCell ref="R1:T1"/>
    <mergeCell ref="C70:E70"/>
    <mergeCell ref="A72:A74"/>
    <mergeCell ref="C72:E72"/>
    <mergeCell ref="C73:E73"/>
    <mergeCell ref="C74:E74"/>
    <mergeCell ref="A75:A78"/>
    <mergeCell ref="A79:B79"/>
    <mergeCell ref="A80:B8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2026-02-07T11:17:28Z</dcterms:created>
  <dc:creator/>
  <dc:description/>
  <dc:language>en-US</dc:language>
  <cp:lastModifiedBy/>
  <dcterms:modified xsi:type="dcterms:W3CDTF">2026-02-23T06:40:35Z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