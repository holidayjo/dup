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<sst xmlns="http://schemas.openxmlformats.org/spreadsheetml/2006/main" count="10" uniqueCount="8">
  <si>
    <t xml:space="preserve">계단</t>
  </si>
  <si>
    <t xml:space="preserve">승강장</t>
  </si>
  <si>
    <r>
      <rPr>
        <sz val="10"/>
        <rFont val="Noto Sans CJK SC"/>
        <family val="2"/>
        <charset val="1"/>
      </rPr>
      <t xml:space="preserve">실제 프래임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계단</t>
    </r>
    <r>
      <rPr>
        <sz val="10"/>
        <rFont val="Arial"/>
        <family val="2"/>
        <charset val="1"/>
      </rPr>
      <t xml:space="preserve">)</t>
    </r>
  </si>
  <si>
    <t xml:space="preserve">프레임 차이</t>
  </si>
  <si>
    <t xml:space="preserve">프레임차이 시간 변환</t>
  </si>
  <si>
    <r>
      <rPr>
        <sz val="10"/>
        <rFont val="Noto Sans CJK SC"/>
        <family val="2"/>
        <charset val="1"/>
      </rPr>
      <t xml:space="preserve">속도</t>
    </r>
    <r>
      <rPr>
        <sz val="10"/>
        <rFont val="Arial"/>
        <family val="2"/>
        <charset val="1"/>
      </rPr>
      <t xml:space="preserve">(2</t>
    </r>
    <r>
      <rPr>
        <sz val="10"/>
        <rFont val="Noto Sans CJK SC"/>
        <family val="2"/>
        <charset val="1"/>
      </rPr>
      <t xml:space="preserve">계단</t>
    </r>
    <r>
      <rPr>
        <sz val="10"/>
        <rFont val="Arial"/>
        <family val="2"/>
        <charset val="1"/>
      </rPr>
      <t xml:space="preserve">:0.41m)</t>
    </r>
  </si>
  <si>
    <r>
      <rPr>
        <sz val="10"/>
        <rFont val="Noto Sans CJK SC"/>
        <family val="2"/>
        <charset val="1"/>
      </rPr>
      <t xml:space="preserve">실제프레임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바닥</t>
    </r>
    <r>
      <rPr>
        <sz val="10"/>
        <rFont val="Arial"/>
        <family val="2"/>
        <charset val="1"/>
      </rPr>
      <t xml:space="preserve">)</t>
    </r>
  </si>
  <si>
    <r>
      <rPr>
        <sz val="10"/>
        <rFont val="Noto Sans CJK SC"/>
        <family val="2"/>
        <charset val="1"/>
      </rPr>
      <t xml:space="preserve">속도</t>
    </r>
    <r>
      <rPr>
        <sz val="10"/>
        <rFont val="Arial"/>
        <family val="2"/>
        <charset val="1"/>
      </rPr>
      <t xml:space="preserve">(4</t>
    </r>
    <r>
      <rPr>
        <sz val="10"/>
        <rFont val="Noto Sans CJK SC"/>
        <family val="2"/>
        <charset val="1"/>
      </rPr>
      <t xml:space="preserve">칸</t>
    </r>
    <r>
      <rPr>
        <sz val="10"/>
        <rFont val="Arial"/>
        <family val="2"/>
        <charset val="1"/>
      </rPr>
      <t xml:space="preserve">:0.8m)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</si>
</sst>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G12" activeCellId="0" sqref="G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05"/>
    <col collapsed="false" customWidth="true" hidden="false" outlineLevel="0" max="2" min="2" style="1" width="10.64"/>
    <col collapsed="false" customWidth="true" hidden="false" outlineLevel="0" max="3" min="3" style="2" width="18.05"/>
    <col collapsed="false" customWidth="true" hidden="false" outlineLevel="0" max="4" min="4" style="2" width="16.2"/>
    <col collapsed="false" customWidth="true" hidden="false" outlineLevel="0" max="5" min="5" style="1" width="14.69"/>
    <col collapsed="false" customWidth="true" hidden="false" outlineLevel="0" max="6" min="6" style="1" width="10.64"/>
    <col collapsed="false" customWidth="true" hidden="false" outlineLevel="0" max="7" min="7" style="1" width="18.64"/>
    <col collapsed="false" customWidth="true" hidden="false" outlineLevel="0" max="8" min="8" style="1" width="13.53"/>
    <col collapsed="false" customWidth="false" hidden="false" outlineLevel="0" max="9" min="9" style="2" width="11.53"/>
    <col collapsed="false" customWidth="false" hidden="false" outlineLevel="0" max="16384" min="10" style="1" width="11.53"/>
  </cols>
  <sheetData>
    <row r="1" s="1" customFormat="true" ht="12.8" hidden="false" customHeight="false" outlineLevel="0" collapsed="false">
      <c r="A1" s="3" t="s">
        <v>0</v>
      </c>
      <c r="B1" s="3"/>
      <c r="C1" s="3"/>
      <c r="D1" s="3"/>
      <c r="E1" s="3" t="s">
        <v>1</v>
      </c>
      <c r="F1" s="3"/>
      <c r="G1" s="3"/>
      <c r="H1" s="3"/>
    </row>
    <row r="2" s="1" customFormat="true" ht="15.65" hidden="false" customHeight="false" outlineLevel="0" collapsed="false">
      <c r="A2" s="3" t="s">
        <v>2</v>
      </c>
      <c r="B2" s="3" t="s">
        <v>3</v>
      </c>
      <c r="C2" s="4" t="s">
        <v>4</v>
      </c>
      <c r="D2" s="4" t="s">
        <v>5</v>
      </c>
      <c r="E2" s="3" t="s">
        <v>6</v>
      </c>
      <c r="F2" s="3" t="s">
        <v>3</v>
      </c>
      <c r="G2" s="4" t="s">
        <v>4</v>
      </c>
      <c r="H2" s="4" t="s">
        <v>7</v>
      </c>
    </row>
    <row r="3" s="1" customFormat="true" ht="12.8" hidden="false" customHeight="false" outlineLevel="0" collapsed="false">
      <c r="A3" s="5" t="n">
        <v>43224</v>
      </c>
      <c r="B3" s="3"/>
      <c r="C3" s="4"/>
      <c r="D3" s="4"/>
      <c r="E3" s="5" t="n">
        <v>43576</v>
      </c>
      <c r="F3" s="3"/>
      <c r="G3" s="3"/>
      <c r="H3" s="4"/>
    </row>
    <row r="4" s="1" customFormat="true" ht="12.8" hidden="false" customHeight="false" outlineLevel="0" collapsed="false">
      <c r="A4" s="6" t="n">
        <v>43293</v>
      </c>
      <c r="B4" s="3" t="n">
        <f aca="false">A4-A3</f>
        <v>69</v>
      </c>
      <c r="C4" s="4" t="n">
        <f aca="false">B4/30</f>
        <v>2.3</v>
      </c>
      <c r="D4" s="4" t="n">
        <f aca="false">0.41/C4</f>
        <v>0.178260869565217</v>
      </c>
      <c r="E4" s="6" t="n">
        <v>43655</v>
      </c>
      <c r="F4" s="3" t="n">
        <f aca="false">E4-E3</f>
        <v>79</v>
      </c>
      <c r="G4" s="3" t="n">
        <f aca="false">F4/30</f>
        <v>2.63333333333333</v>
      </c>
      <c r="H4" s="4" t="n">
        <f aca="false">0.8/G4</f>
        <v>0.30379746835443</v>
      </c>
    </row>
    <row r="5" s="1" customFormat="true" ht="12.8" hidden="false" customHeight="false" outlineLevel="0" collapsed="false">
      <c r="A5" s="6" t="n">
        <v>43333</v>
      </c>
      <c r="B5" s="3" t="n">
        <f aca="false">A5-A4</f>
        <v>40</v>
      </c>
      <c r="C5" s="4" t="n">
        <f aca="false">B5/30</f>
        <v>1.33333333333333</v>
      </c>
      <c r="D5" s="4" t="n">
        <f aca="false">0.41/C5</f>
        <v>0.3075</v>
      </c>
      <c r="E5" s="6" t="n">
        <v>43685</v>
      </c>
      <c r="F5" s="3" t="n">
        <f aca="false">E5-E4</f>
        <v>30</v>
      </c>
      <c r="G5" s="3" t="n">
        <f aca="false">F5/30</f>
        <v>1</v>
      </c>
      <c r="H5" s="4" t="n">
        <f aca="false">0.8/G5</f>
        <v>0.8</v>
      </c>
    </row>
    <row r="6" s="1" customFormat="true" ht="12.8" hidden="false" customHeight="false" outlineLevel="0" collapsed="false">
      <c r="A6" s="6" t="n">
        <v>43380</v>
      </c>
      <c r="B6" s="3" t="n">
        <f aca="false">A6-A5</f>
        <v>47</v>
      </c>
      <c r="C6" s="4" t="n">
        <f aca="false">B6/30</f>
        <v>1.56666666666667</v>
      </c>
      <c r="D6" s="4" t="n">
        <f aca="false">0.41/C6</f>
        <v>0.261702127659574</v>
      </c>
      <c r="E6" s="6" t="n">
        <v>43710</v>
      </c>
      <c r="F6" s="3" t="n">
        <f aca="false">E6-E5</f>
        <v>25</v>
      </c>
      <c r="G6" s="3" t="n">
        <f aca="false">F6/30</f>
        <v>0.833333333333333</v>
      </c>
      <c r="H6" s="4" t="n">
        <f aca="false">0.8/G6</f>
        <v>0.96</v>
      </c>
    </row>
    <row r="7" s="1" customFormat="true" ht="12.8" hidden="false" customHeight="false" outlineLevel="0" collapsed="false">
      <c r="A7" s="6" t="n">
        <v>43426</v>
      </c>
      <c r="B7" s="3" t="n">
        <f aca="false">A7-A6</f>
        <v>46</v>
      </c>
      <c r="C7" s="4" t="n">
        <f aca="false">B7/30</f>
        <v>1.53333333333333</v>
      </c>
      <c r="D7" s="4" t="n">
        <f aca="false">0.41/C7</f>
        <v>0.267391304347826</v>
      </c>
      <c r="E7" s="6" t="n">
        <v>43734</v>
      </c>
      <c r="F7" s="3" t="n">
        <f aca="false">E7-E6</f>
        <v>24</v>
      </c>
      <c r="G7" s="3" t="n">
        <f aca="false">F7/30</f>
        <v>0.8</v>
      </c>
      <c r="H7" s="4" t="n">
        <f aca="false">0.8/G7</f>
        <v>1</v>
      </c>
    </row>
    <row r="8" s="1" customFormat="true" ht="12.8" hidden="false" customHeight="false" outlineLevel="0" collapsed="false">
      <c r="A8" s="6" t="n">
        <v>43481</v>
      </c>
      <c r="B8" s="3" t="n">
        <f aca="false">A8-A7</f>
        <v>55</v>
      </c>
      <c r="C8" s="4" t="n">
        <f aca="false">B8/30</f>
        <v>1.83333333333333</v>
      </c>
      <c r="D8" s="4" t="n">
        <f aca="false">0.41/C8</f>
        <v>0.223636363636364</v>
      </c>
      <c r="E8" s="6" t="n">
        <v>43754</v>
      </c>
      <c r="F8" s="3" t="n">
        <f aca="false">E8-E7</f>
        <v>20</v>
      </c>
      <c r="G8" s="3" t="n">
        <f aca="false">F8/30</f>
        <v>0.666666666666667</v>
      </c>
      <c r="H8" s="4" t="n">
        <f aca="false">0.8/G8</f>
        <v>1.2</v>
      </c>
    </row>
    <row r="9" s="1" customFormat="true" ht="12.8" hidden="false" customHeight="false" outlineLevel="0" collapsed="false">
      <c r="A9" s="6" t="n">
        <v>43526</v>
      </c>
      <c r="B9" s="3" t="n">
        <f aca="false">A9-A8</f>
        <v>45</v>
      </c>
      <c r="C9" s="4" t="n">
        <f aca="false">B9/30</f>
        <v>1.5</v>
      </c>
      <c r="D9" s="4" t="n">
        <f aca="false">0.41/C9</f>
        <v>0.273333333333333</v>
      </c>
      <c r="E9" s="3"/>
      <c r="F9" s="3"/>
      <c r="G9" s="3"/>
      <c r="H9" s="4"/>
    </row>
    <row r="10" s="1" customFormat="true" ht="12.8" hidden="false" customHeight="false" outlineLevel="0" collapsed="false">
      <c r="A10" s="6" t="n">
        <v>43576</v>
      </c>
      <c r="B10" s="3" t="n">
        <f aca="false">A10-A9</f>
        <v>50</v>
      </c>
      <c r="C10" s="4" t="n">
        <f aca="false">B10/30</f>
        <v>1.66666666666667</v>
      </c>
      <c r="D10" s="4" t="n">
        <f aca="false">0.41/C10</f>
        <v>0.246</v>
      </c>
      <c r="E10" s="3"/>
      <c r="F10" s="3"/>
      <c r="G10" s="3"/>
      <c r="H10" s="4"/>
    </row>
  </sheetData>
  <mergeCells count="2">
    <mergeCell ref="A1:D1"/>
    <mergeCell ref="E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2026-02-05T12:07:46Z</dcterms:created>
  <dc:creator/>
  <dc:description/>
  <dc:language>en-US</dc:language>
  <cp:lastModifiedBy/>
  <dcterms:modified xsi:type="dcterms:W3CDTF">2026-02-05T12:21:09Z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